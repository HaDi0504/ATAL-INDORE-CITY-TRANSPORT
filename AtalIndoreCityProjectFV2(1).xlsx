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ngers Analysis" sheetId="1" r:id="rId4"/>
    <sheet state="visible" name="Normal Distribution simulation" sheetId="2" r:id="rId5"/>
    <sheet state="visible" name="Information" sheetId="3" r:id="rId6"/>
    <sheet state="visible" name="Results" sheetId="4" r:id="rId7"/>
    <sheet state="visible" name="Questions" sheetId="5" r:id="rId8"/>
  </sheets>
  <definedNames/>
  <calcPr/>
  <extLst>
    <ext uri="GoogleSheetsCustomDataVersion1">
      <go:sheetsCustomData xmlns:go="http://customooxmlschemas.google.com/" r:id="rId9" roundtripDataSignature="AMtx7mi8BZUL0SPvfkxxAFqPy4jxbXhN+Q=="/>
    </ext>
  </extLst>
</workbook>
</file>

<file path=xl/sharedStrings.xml><?xml version="1.0" encoding="utf-8"?>
<sst xmlns="http://schemas.openxmlformats.org/spreadsheetml/2006/main" count="320" uniqueCount="108">
  <si>
    <t>Page 7</t>
  </si>
  <si>
    <t>EXHIBIT 5: ORIGIN-DESTINATION DEMAND MATRIX FOR PEAK HOURS (7:30 A.M. TO 11:30 A.M.) IN NUMBER OF PASSENGERS</t>
  </si>
  <si>
    <t>Bus Stop Number</t>
  </si>
  <si>
    <t>Bus Stop Name</t>
  </si>
  <si>
    <t>Rajiv Gandhi</t>
  </si>
  <si>
    <t>Mata Gujri</t>
  </si>
  <si>
    <t>Vishnupuri</t>
  </si>
  <si>
    <t>Bhanwarkuan Square</t>
  </si>
  <si>
    <t>Holkar Subway</t>
  </si>
  <si>
    <t>Navlakha Square</t>
  </si>
  <si>
    <t>Indra Pratima</t>
  </si>
  <si>
    <t>GPO</t>
  </si>
  <si>
    <t>Shivaji Vatika</t>
  </si>
  <si>
    <t>AICTSL</t>
  </si>
  <si>
    <t>Geeta Bhawan</t>
  </si>
  <si>
    <t>Palasiya</t>
  </si>
  <si>
    <t>Industry House</t>
  </si>
  <si>
    <t>LIG</t>
  </si>
  <si>
    <t>Press Complex</t>
  </si>
  <si>
    <t>MR-9</t>
  </si>
  <si>
    <t>Vijay Nagar</t>
  </si>
  <si>
    <t>Satya Sai</t>
  </si>
  <si>
    <t>Shalimar Township</t>
  </si>
  <si>
    <t>Scheme No. 78</t>
  </si>
  <si>
    <t>Niranjanpur Square</t>
  </si>
  <si>
    <t>Distance* (in km)</t>
  </si>
  <si>
    <t>Loading</t>
  </si>
  <si>
    <t>Unloading</t>
  </si>
  <si>
    <t>Total people (raw)</t>
  </si>
  <si>
    <t>Note: *distance is measured from the origin (Rajiv Gandhi) to the specified stop; the number of passengers is the total number of passengers travelling between an origin</t>
  </si>
  <si>
    <t>(row) and destination (column) over the measured period; km = kilometres; AICTSL = Atal Indore City Transport Service Limited</t>
  </si>
  <si>
    <t>Source: Company files.</t>
  </si>
  <si>
    <t>Page 8</t>
  </si>
  <si>
    <t>EXHIBIT 6: ORIGIN-DESTINATION DEMAND MATRIX FOR NON-PEAK HOURS (11:30 A.M. TO 14:30 P.M.) IN NUMBER OF PASSENGERS</t>
  </si>
  <si>
    <t>Northbound Loading</t>
  </si>
  <si>
    <t>Northbound Unloading</t>
  </si>
  <si>
    <t>Northbound Total people (raw)</t>
  </si>
  <si>
    <t>Northbound Per hour</t>
  </si>
  <si>
    <t>Buses per hour</t>
  </si>
  <si>
    <t>Southbound loading</t>
  </si>
  <si>
    <t>Southbound unloading</t>
  </si>
  <si>
    <t>Southmound total</t>
  </si>
  <si>
    <t>Southboound per hour</t>
  </si>
  <si>
    <t>Northbound unloading</t>
  </si>
  <si>
    <t>Required</t>
  </si>
  <si>
    <t>Demand met</t>
  </si>
  <si>
    <t>Assumptions - Information</t>
  </si>
  <si>
    <t>Background info</t>
  </si>
  <si>
    <t>GDP Growth rate</t>
  </si>
  <si>
    <t>Rural areas population</t>
  </si>
  <si>
    <t>68.80%</t>
  </si>
  <si>
    <t>urban population by 2050</t>
  </si>
  <si>
    <t>Registered buses 2016</t>
  </si>
  <si>
    <t>public sector operated</t>
  </si>
  <si>
    <t>transported people</t>
  </si>
  <si>
    <t>Bus used urban household</t>
  </si>
  <si>
    <t>Auto rickshaw urban</t>
  </si>
  <si>
    <t>Bus spending rural household</t>
  </si>
  <si>
    <t>Auto rickshaw rural</t>
  </si>
  <si>
    <t>The corridor was 11.57 kilometres long, with 21 bus stops</t>
  </si>
  <si>
    <t>The BRT buses travelled one route, in two directions: from Niranjanpur to Rajiv Gandhi and in the opposite direction from Rajiv Gandhi to Niranjanpur</t>
  </si>
  <si>
    <t>Route Length</t>
  </si>
  <si>
    <t>11.57</t>
  </si>
  <si>
    <t>kilometres</t>
  </si>
  <si>
    <t>Road Section (Road Width)</t>
  </si>
  <si>
    <t>30-60</t>
  </si>
  <si>
    <t>meters</t>
  </si>
  <si>
    <t>stops</t>
  </si>
  <si>
    <t>busies in the system</t>
  </si>
  <si>
    <t>bus capacity</t>
  </si>
  <si>
    <t>seating</t>
  </si>
  <si>
    <t>standing</t>
  </si>
  <si>
    <t>rideship</t>
  </si>
  <si>
    <t>over</t>
  </si>
  <si>
    <t>passengers per day</t>
  </si>
  <si>
    <t>Weekly maximum KM:</t>
  </si>
  <si>
    <t>Route legth:</t>
  </si>
  <si>
    <t>Roundtrip:</t>
  </si>
  <si>
    <t>Maximum roundtrips per week:</t>
  </si>
  <si>
    <t>Total bus capacity:</t>
  </si>
  <si>
    <t>Max buses Rush:</t>
  </si>
  <si>
    <t>In one hour the bus can do a full one direction route, in two hours a roundtrip.</t>
  </si>
  <si>
    <t>Max Buses non rush:</t>
  </si>
  <si>
    <t>Passager demand per station forward direction (peak):</t>
  </si>
  <si>
    <t>Total Hours Peak</t>
  </si>
  <si>
    <t>Total Hours non-peak</t>
  </si>
  <si>
    <t>Station number</t>
  </si>
  <si>
    <t>Name</t>
  </si>
  <si>
    <t>when are the peak hours</t>
  </si>
  <si>
    <t>what happen with the people that can`t fit in the bus?</t>
  </si>
  <si>
    <t>what happen if we cant not fit all the passengers, what is the associted lost cost of leaving these people?</t>
  </si>
  <si>
    <t>how long does it take for a bus for a full round trip?</t>
  </si>
  <si>
    <t>what do we want to optimize? The number of drivers? Number of buses??</t>
  </si>
  <si>
    <t>little law</t>
  </si>
  <si>
    <t>https://en.wikipedia.org/wiki/Little%27s_law</t>
  </si>
  <si>
    <t>4 hours the whole periord of time7</t>
  </si>
  <si>
    <t>avergae speed and distance</t>
  </si>
  <si>
    <t>infinite number of drivers</t>
  </si>
  <si>
    <t>the time will be less than an hpur</t>
  </si>
  <si>
    <t>number of buses per route</t>
  </si>
  <si>
    <t>l=lw</t>
  </si>
  <si>
    <t>number of passengers in a route</t>
  </si>
  <si>
    <t>L number os passengers</t>
  </si>
  <si>
    <t>lambda is rate</t>
  </si>
  <si>
    <t>w is given</t>
  </si>
  <si>
    <t>optimal frequency of buses in an hour</t>
  </si>
  <si>
    <t xml:space="preserve">60 divided by 4 is 15 </t>
  </si>
  <si>
    <t>that 15 is going to be the time between buses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</si>
</sst>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_(* #,##0_);_(* \(#,##0\);_(* &quot;-&quot;??_);_(@_)"/>
    <numFmt numFmtId="166" formatCode="_(* #,##0.00_);_(* \(#,##0.00\);_(* &quot;-&quot;??_);_(@_)"/>
    <numFmt numFmtId="167" formatCode="_-* #,##0.00_-;\-* #,##0.00_-;_-* &quot;-&quot;_-;_-@"/>
  </numFmts>
  <fonts count="12">
    <font>
      <sz val="10.0"/>
      <color rgb="FF000000"/>
      <name val="Arial"/>
    </font>
    <font>
      <sz val="10.0"/>
      <color theme="1"/>
      <name val="Arial bold"/>
    </font>
    <font>
      <sz val="9.0"/>
      <color theme="1"/>
      <name val="Arial bold"/>
    </font>
    <font>
      <b/>
      <sz val="9.0"/>
      <color theme="1"/>
      <name val="Arial bold"/>
    </font>
    <font>
      <color theme="1"/>
      <name val="Calibri"/>
    </font>
    <font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" xfId="0" applyFont="1" applyNumberFormat="1"/>
    <xf borderId="0" fillId="0" fontId="3" numFmtId="0" xfId="0" applyFont="1"/>
    <xf borderId="0" fillId="0" fontId="3" numFmtId="1" xfId="0" applyFont="1" applyNumberFormat="1"/>
    <xf borderId="0" fillId="0" fontId="3" numFmtId="2" xfId="0" applyFont="1" applyNumberFormat="1"/>
    <xf borderId="0" fillId="0" fontId="3" numFmtId="164" xfId="0" applyFont="1" applyNumberFormat="1"/>
    <xf borderId="0" fillId="0" fontId="4" numFmtId="0" xfId="0" applyFont="1"/>
    <xf borderId="0" fillId="0" fontId="5" numFmtId="1" xfId="0" applyFont="1" applyNumberFormat="1"/>
    <xf borderId="0" fillId="0" fontId="6" numFmtId="1" xfId="0" applyFont="1" applyNumberFormat="1"/>
    <xf borderId="0" fillId="0" fontId="7" numFmtId="1" xfId="0" applyFont="1" applyNumberFormat="1"/>
    <xf borderId="0" fillId="0" fontId="8" numFmtId="1" xfId="0" applyFont="1" applyNumberFormat="1"/>
    <xf borderId="0" fillId="0" fontId="5" numFmtId="0" xfId="0" applyFont="1"/>
    <xf borderId="1" fillId="2" fontId="5" numFmtId="1" xfId="0" applyBorder="1" applyFill="1" applyFont="1" applyNumberFormat="1"/>
    <xf borderId="0" fillId="0" fontId="6" numFmtId="0" xfId="0" applyFont="1"/>
    <xf borderId="0" fillId="0" fontId="7" numFmtId="165" xfId="0" applyFont="1" applyNumberFormat="1"/>
    <xf borderId="0" fillId="0" fontId="7" numFmtId="166" xfId="0" applyFont="1" applyNumberFormat="1"/>
    <xf borderId="0" fillId="0" fontId="6" numFmtId="165" xfId="0" applyFont="1" applyNumberFormat="1"/>
    <xf borderId="0" fillId="0" fontId="7" numFmtId="0" xfId="0" applyFont="1"/>
    <xf borderId="0" fillId="0" fontId="9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0" numFmtId="9" xfId="0" applyAlignment="1" applyFont="1" applyNumberFormat="1">
      <alignment horizontal="right" shrinkToFit="0" wrapText="1"/>
    </xf>
    <xf borderId="0" fillId="0" fontId="10" numFmtId="0" xfId="0" applyAlignment="1" applyFont="1">
      <alignment horizontal="right" shrinkToFit="0" wrapText="1"/>
    </xf>
    <xf borderId="0" fillId="0" fontId="10" numFmtId="0" xfId="0" applyAlignment="1" applyFont="1">
      <alignment vertical="center"/>
    </xf>
    <xf borderId="1" fillId="3" fontId="10" numFmtId="0" xfId="0" applyAlignment="1" applyBorder="1" applyFill="1" applyFont="1">
      <alignment shrinkToFit="0" wrapText="1"/>
    </xf>
    <xf borderId="0" fillId="0" fontId="7" numFmtId="167" xfId="0" applyFont="1" applyNumberFormat="1"/>
    <xf borderId="1" fillId="4" fontId="1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14"/>
    <col customWidth="1" min="3" max="3" width="9.86"/>
    <col customWidth="1" min="4" max="4" width="8.0"/>
    <col customWidth="1" min="5" max="5" width="8.29"/>
    <col customWidth="1" min="6" max="6" width="16.43"/>
    <col customWidth="1" min="7" max="7" width="11.57"/>
    <col customWidth="1" min="8" max="8" width="13.14"/>
    <col customWidth="1" min="9" max="9" width="10.43"/>
    <col customWidth="1" min="10" max="10" width="4.43"/>
    <col customWidth="1" min="11" max="11" width="10.29"/>
    <col customWidth="1" min="12" max="12" width="6.29"/>
    <col customWidth="1" min="13" max="13" width="11.43"/>
    <col customWidth="1" min="14" max="14" width="6.86"/>
    <col customWidth="1" min="15" max="15" width="11.57"/>
    <col customWidth="1" min="16" max="16" width="6.0"/>
    <col customWidth="1" min="17" max="17" width="12.0"/>
    <col customWidth="1" min="18" max="18" width="4.71"/>
    <col customWidth="1" min="19" max="19" width="8.71"/>
    <col customWidth="1" min="20" max="20" width="7.71"/>
    <col customWidth="1" min="21" max="21" width="14.71"/>
    <col customWidth="1" min="22" max="22" width="12.0"/>
    <col customWidth="1" min="23" max="23" width="14.71"/>
    <col customWidth="1" min="24" max="25" width="8.71"/>
    <col customWidth="1" min="26" max="26" width="12.0"/>
    <col customWidth="1" min="27" max="28" width="8.71"/>
  </cols>
  <sheetData>
    <row r="1" ht="12.75" customHeight="1"/>
    <row r="2" ht="12.75" customHeight="1"/>
    <row r="3" ht="12.75" customHeight="1">
      <c r="A3" s="1" t="s">
        <v>0</v>
      </c>
      <c r="B3" s="1" t="s">
        <v>1</v>
      </c>
      <c r="W3" s="1"/>
    </row>
    <row r="4" ht="12.75" customHeight="1"/>
    <row r="5" ht="12.75" customHeight="1">
      <c r="B5" s="2" t="s">
        <v>2</v>
      </c>
      <c r="C5" s="3">
        <v>1.0</v>
      </c>
      <c r="D5" s="3">
        <v>2.0</v>
      </c>
      <c r="E5" s="3">
        <v>3.0</v>
      </c>
      <c r="F5" s="3">
        <v>4.0</v>
      </c>
      <c r="G5" s="3">
        <v>5.0</v>
      </c>
      <c r="H5" s="3">
        <v>6.0</v>
      </c>
      <c r="I5" s="3">
        <v>7.0</v>
      </c>
      <c r="J5" s="3">
        <v>8.0</v>
      </c>
      <c r="K5" s="3">
        <v>9.0</v>
      </c>
      <c r="L5" s="3">
        <v>10.0</v>
      </c>
      <c r="M5" s="3">
        <v>11.0</v>
      </c>
      <c r="N5" s="3">
        <v>12.0</v>
      </c>
      <c r="O5" s="3">
        <v>13.0</v>
      </c>
      <c r="P5" s="3">
        <v>14.0</v>
      </c>
      <c r="Q5" s="3">
        <v>15.0</v>
      </c>
      <c r="R5" s="3">
        <v>16.0</v>
      </c>
      <c r="S5" s="3">
        <v>17.0</v>
      </c>
      <c r="T5" s="3">
        <v>18.0</v>
      </c>
      <c r="U5" s="3">
        <v>19.0</v>
      </c>
      <c r="V5" s="3">
        <v>20.0</v>
      </c>
      <c r="W5" s="3">
        <v>21.0</v>
      </c>
    </row>
    <row r="6" ht="12.75" customHeight="1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21</v>
      </c>
      <c r="U6" s="2" t="s">
        <v>22</v>
      </c>
      <c r="V6" s="2" t="s">
        <v>23</v>
      </c>
      <c r="W6" s="2" t="s">
        <v>24</v>
      </c>
    </row>
    <row r="7" ht="12.75" customHeight="1">
      <c r="B7" s="4" t="s">
        <v>25</v>
      </c>
      <c r="C7" s="5">
        <v>0.0</v>
      </c>
      <c r="D7" s="6">
        <v>0.75</v>
      </c>
      <c r="E7" s="7">
        <v>1.2</v>
      </c>
      <c r="F7" s="7">
        <v>1.7</v>
      </c>
      <c r="G7" s="7">
        <v>2.0</v>
      </c>
      <c r="H7" s="7">
        <v>3.0</v>
      </c>
      <c r="I7" s="7">
        <v>3.3</v>
      </c>
      <c r="J7" s="7">
        <v>3.7</v>
      </c>
      <c r="K7" s="7">
        <v>4.4</v>
      </c>
      <c r="L7" s="7">
        <v>4.9</v>
      </c>
      <c r="M7" s="7">
        <v>5.4</v>
      </c>
      <c r="N7" s="7">
        <v>6.1</v>
      </c>
      <c r="O7" s="7">
        <v>6.6</v>
      </c>
      <c r="P7" s="7">
        <v>7.2</v>
      </c>
      <c r="Q7" s="7">
        <v>7.5</v>
      </c>
      <c r="R7" s="7">
        <v>8.2</v>
      </c>
      <c r="S7" s="7">
        <v>8.9</v>
      </c>
      <c r="T7" s="7">
        <v>9.5</v>
      </c>
      <c r="U7" s="7">
        <v>10.4</v>
      </c>
      <c r="V7" s="7">
        <v>10.9</v>
      </c>
      <c r="W7" s="7">
        <v>11.4</v>
      </c>
      <c r="X7" s="8" t="s">
        <v>26</v>
      </c>
      <c r="Y7" s="8" t="s">
        <v>27</v>
      </c>
      <c r="Z7" s="8" t="s">
        <v>28</v>
      </c>
    </row>
    <row r="8" ht="12.75" customHeight="1">
      <c r="A8" s="3">
        <v>1.0</v>
      </c>
      <c r="B8" s="2" t="s">
        <v>4</v>
      </c>
      <c r="C8" s="9">
        <v>0.0</v>
      </c>
      <c r="D8" s="9">
        <v>7.0</v>
      </c>
      <c r="E8" s="9">
        <v>5.0</v>
      </c>
      <c r="F8" s="9">
        <v>52.0</v>
      </c>
      <c r="G8" s="9">
        <v>19.0</v>
      </c>
      <c r="H8" s="9">
        <v>30.0</v>
      </c>
      <c r="I8" s="9">
        <v>16.0</v>
      </c>
      <c r="J8" s="9">
        <v>71.0</v>
      </c>
      <c r="K8" s="9">
        <v>24.0</v>
      </c>
      <c r="L8" s="9">
        <v>40.0</v>
      </c>
      <c r="M8" s="9">
        <v>100.0</v>
      </c>
      <c r="N8" s="9">
        <v>80.0</v>
      </c>
      <c r="O8" s="9">
        <v>30.0</v>
      </c>
      <c r="P8" s="9">
        <v>61.0</v>
      </c>
      <c r="Q8" s="9">
        <v>16.0</v>
      </c>
      <c r="R8" s="9">
        <v>50.0</v>
      </c>
      <c r="S8" s="9">
        <v>39.0</v>
      </c>
      <c r="T8" s="9">
        <v>9.0</v>
      </c>
      <c r="U8" s="9">
        <v>13.0</v>
      </c>
      <c r="V8" s="9">
        <v>16.0</v>
      </c>
      <c r="W8" s="9">
        <v>23.0</v>
      </c>
      <c r="X8" s="10">
        <f t="shared" ref="X8:X28" si="1">SUMIFS(C8:W8,$C$5:$W$5,"&gt;"&amp;A8)</f>
        <v>701</v>
      </c>
      <c r="Y8" s="11">
        <f>C29</f>
        <v>0</v>
      </c>
      <c r="Z8" s="10">
        <f>X8-Y8</f>
        <v>701</v>
      </c>
      <c r="AA8" s="8">
        <f>Z8*Results!$C$13</f>
        <v>2804</v>
      </c>
      <c r="AB8" s="8">
        <f>AA8/Results!$C$6</f>
        <v>54.98039216</v>
      </c>
    </row>
    <row r="9" ht="12.75" customHeight="1">
      <c r="A9" s="3">
        <v>2.0</v>
      </c>
      <c r="B9" s="2" t="s">
        <v>5</v>
      </c>
      <c r="C9" s="9">
        <v>15.0</v>
      </c>
      <c r="D9" s="9">
        <v>0.0</v>
      </c>
      <c r="E9" s="9">
        <v>4.0</v>
      </c>
      <c r="F9" s="9">
        <v>43.0</v>
      </c>
      <c r="G9" s="9">
        <v>8.0</v>
      </c>
      <c r="H9" s="9">
        <v>24.0</v>
      </c>
      <c r="I9" s="9">
        <v>14.0</v>
      </c>
      <c r="J9" s="9">
        <v>24.0</v>
      </c>
      <c r="K9" s="9">
        <v>15.0</v>
      </c>
      <c r="L9" s="9">
        <v>15.0</v>
      </c>
      <c r="M9" s="9">
        <v>43.0</v>
      </c>
      <c r="N9" s="9">
        <v>37.0</v>
      </c>
      <c r="O9" s="9">
        <v>12.0</v>
      </c>
      <c r="P9" s="9">
        <v>23.0</v>
      </c>
      <c r="Q9" s="9">
        <v>5.0</v>
      </c>
      <c r="R9" s="9">
        <v>30.0</v>
      </c>
      <c r="S9" s="9">
        <v>22.0</v>
      </c>
      <c r="T9" s="9">
        <v>8.0</v>
      </c>
      <c r="U9" s="9">
        <v>9.0</v>
      </c>
      <c r="V9" s="9">
        <v>11.0</v>
      </c>
      <c r="W9" s="9">
        <v>10.0</v>
      </c>
      <c r="X9" s="10">
        <f t="shared" si="1"/>
        <v>357</v>
      </c>
      <c r="Y9" s="11">
        <f>D29</f>
        <v>7</v>
      </c>
      <c r="Z9" s="10">
        <f t="shared" ref="Z9:Z28" si="2">Z8+X9-Y9</f>
        <v>1051</v>
      </c>
      <c r="AA9" s="8">
        <f>Z9*Results!$C$13</f>
        <v>4204</v>
      </c>
      <c r="AB9" s="8">
        <f>AA9/Results!$C$6</f>
        <v>82.43137255</v>
      </c>
    </row>
    <row r="10" ht="12.75" customHeight="1">
      <c r="A10" s="3">
        <v>3.0</v>
      </c>
      <c r="B10" s="2" t="s">
        <v>6</v>
      </c>
      <c r="C10" s="9">
        <v>8.0</v>
      </c>
      <c r="D10" s="9">
        <v>6.0</v>
      </c>
      <c r="E10" s="9">
        <v>0.0</v>
      </c>
      <c r="F10" s="9">
        <v>21.0</v>
      </c>
      <c r="G10" s="9">
        <v>10.0</v>
      </c>
      <c r="H10" s="9">
        <v>17.0</v>
      </c>
      <c r="I10" s="9">
        <v>9.0</v>
      </c>
      <c r="J10" s="9">
        <v>25.0</v>
      </c>
      <c r="K10" s="9">
        <v>8.0</v>
      </c>
      <c r="L10" s="9">
        <v>16.0</v>
      </c>
      <c r="M10" s="9">
        <v>45.0</v>
      </c>
      <c r="N10" s="9">
        <v>31.0</v>
      </c>
      <c r="O10" s="9">
        <v>0.0</v>
      </c>
      <c r="P10" s="9">
        <v>20.0</v>
      </c>
      <c r="Q10" s="9">
        <v>6.0</v>
      </c>
      <c r="R10" s="9">
        <v>21.0</v>
      </c>
      <c r="S10" s="9">
        <v>16.0</v>
      </c>
      <c r="T10" s="9">
        <v>5.0</v>
      </c>
      <c r="U10" s="9">
        <v>4.0</v>
      </c>
      <c r="V10" s="9">
        <v>4.0</v>
      </c>
      <c r="W10" s="9">
        <v>8.0</v>
      </c>
      <c r="X10" s="10">
        <f t="shared" si="1"/>
        <v>266</v>
      </c>
      <c r="Y10" s="11">
        <f>E29</f>
        <v>9</v>
      </c>
      <c r="Z10" s="10">
        <f t="shared" si="2"/>
        <v>1308</v>
      </c>
      <c r="AA10" s="8">
        <f>Z10*Results!$C$13</f>
        <v>5232</v>
      </c>
      <c r="AB10" s="8">
        <f>AA10/Results!$C$6</f>
        <v>102.5882353</v>
      </c>
    </row>
    <row r="11" ht="12.75" customHeight="1">
      <c r="A11" s="3">
        <v>4.0</v>
      </c>
      <c r="B11" s="2" t="s">
        <v>7</v>
      </c>
      <c r="C11" s="9">
        <v>24.0</v>
      </c>
      <c r="D11" s="9">
        <v>11.0</v>
      </c>
      <c r="E11" s="9">
        <v>7.0</v>
      </c>
      <c r="F11" s="9">
        <v>0.0</v>
      </c>
      <c r="G11" s="9">
        <v>22.0</v>
      </c>
      <c r="H11" s="9">
        <v>53.0</v>
      </c>
      <c r="I11" s="9">
        <v>27.0</v>
      </c>
      <c r="J11" s="9">
        <v>119.0</v>
      </c>
      <c r="K11" s="9">
        <v>32.0</v>
      </c>
      <c r="L11" s="9">
        <v>73.0</v>
      </c>
      <c r="M11" s="9">
        <v>232.0</v>
      </c>
      <c r="N11" s="9">
        <v>176.0</v>
      </c>
      <c r="O11" s="9">
        <v>40.0</v>
      </c>
      <c r="P11" s="9">
        <v>169.0</v>
      </c>
      <c r="Q11" s="9">
        <v>13.0</v>
      </c>
      <c r="R11" s="9">
        <v>91.0</v>
      </c>
      <c r="S11" s="9">
        <v>82.0</v>
      </c>
      <c r="T11" s="9">
        <v>12.0</v>
      </c>
      <c r="U11" s="9">
        <v>18.0</v>
      </c>
      <c r="V11" s="9">
        <v>20.0</v>
      </c>
      <c r="W11" s="9">
        <v>26.0</v>
      </c>
      <c r="X11" s="10">
        <f t="shared" si="1"/>
        <v>1205</v>
      </c>
      <c r="Y11" s="11">
        <f>F29</f>
        <v>116</v>
      </c>
      <c r="Z11" s="10">
        <f t="shared" si="2"/>
        <v>2397</v>
      </c>
      <c r="AA11" s="8">
        <f>Z11*Results!$C$13</f>
        <v>9588</v>
      </c>
      <c r="AB11" s="8">
        <f>AA11/Results!$C$6</f>
        <v>188</v>
      </c>
    </row>
    <row r="12" ht="12.75" customHeight="1">
      <c r="A12" s="3">
        <v>5.0</v>
      </c>
      <c r="B12" s="2" t="s">
        <v>8</v>
      </c>
      <c r="C12" s="9">
        <v>8.0</v>
      </c>
      <c r="D12" s="9">
        <v>4.0</v>
      </c>
      <c r="E12" s="9">
        <v>3.0</v>
      </c>
      <c r="F12" s="9">
        <v>31.0</v>
      </c>
      <c r="G12" s="9">
        <v>0.0</v>
      </c>
      <c r="H12" s="9">
        <v>12.0</v>
      </c>
      <c r="I12" s="9">
        <v>5.0</v>
      </c>
      <c r="J12" s="9">
        <v>18.0</v>
      </c>
      <c r="K12" s="9">
        <v>10.0</v>
      </c>
      <c r="L12" s="9">
        <v>11.0</v>
      </c>
      <c r="M12" s="9">
        <v>26.0</v>
      </c>
      <c r="N12" s="9">
        <v>38.0</v>
      </c>
      <c r="O12" s="9">
        <v>14.0</v>
      </c>
      <c r="P12" s="9">
        <v>30.0</v>
      </c>
      <c r="Q12" s="9">
        <v>4.0</v>
      </c>
      <c r="R12" s="9">
        <v>9.0</v>
      </c>
      <c r="S12" s="9">
        <v>12.0</v>
      </c>
      <c r="T12" s="9">
        <v>5.0</v>
      </c>
      <c r="U12" s="9">
        <v>6.0</v>
      </c>
      <c r="V12" s="9">
        <v>6.0</v>
      </c>
      <c r="W12" s="9">
        <v>5.0</v>
      </c>
      <c r="X12" s="10">
        <f t="shared" si="1"/>
        <v>211</v>
      </c>
      <c r="Y12" s="11">
        <f>G29</f>
        <v>59</v>
      </c>
      <c r="Z12" s="10">
        <f t="shared" si="2"/>
        <v>2549</v>
      </c>
      <c r="AA12" s="8">
        <f>Z12*Results!$C$13</f>
        <v>10196</v>
      </c>
      <c r="AB12" s="8">
        <f>AA12/Results!$C$6</f>
        <v>199.9215686</v>
      </c>
    </row>
    <row r="13" ht="12.75" customHeight="1">
      <c r="A13" s="3">
        <v>6.0</v>
      </c>
      <c r="B13" s="2" t="s">
        <v>9</v>
      </c>
      <c r="C13" s="9">
        <v>25.0</v>
      </c>
      <c r="D13" s="9">
        <v>20.0</v>
      </c>
      <c r="E13" s="9">
        <v>20.0</v>
      </c>
      <c r="F13" s="9">
        <v>182.0</v>
      </c>
      <c r="G13" s="9">
        <v>47.0</v>
      </c>
      <c r="H13" s="9">
        <v>0.0</v>
      </c>
      <c r="I13" s="9">
        <v>66.0</v>
      </c>
      <c r="J13" s="9">
        <v>145.0</v>
      </c>
      <c r="K13" s="9">
        <v>33.0</v>
      </c>
      <c r="L13" s="9">
        <v>58.0</v>
      </c>
      <c r="M13" s="9">
        <v>299.0</v>
      </c>
      <c r="N13" s="9">
        <v>316.0</v>
      </c>
      <c r="O13" s="9">
        <v>58.0</v>
      </c>
      <c r="P13" s="9">
        <v>223.0</v>
      </c>
      <c r="Q13" s="9">
        <v>29.0</v>
      </c>
      <c r="R13" s="9">
        <v>201.0</v>
      </c>
      <c r="S13" s="9">
        <v>133.0</v>
      </c>
      <c r="T13" s="9">
        <v>24.0</v>
      </c>
      <c r="U13" s="9">
        <v>23.0</v>
      </c>
      <c r="V13" s="9">
        <v>42.0</v>
      </c>
      <c r="W13" s="9">
        <v>46.0</v>
      </c>
      <c r="X13" s="10">
        <f t="shared" si="1"/>
        <v>1696</v>
      </c>
      <c r="Y13" s="11">
        <f>H29</f>
        <v>136</v>
      </c>
      <c r="Z13" s="10">
        <f t="shared" si="2"/>
        <v>4109</v>
      </c>
      <c r="AA13" s="8">
        <f>Z13*Results!$C$13</f>
        <v>16436</v>
      </c>
      <c r="AB13" s="8">
        <f>AA13/Results!$C$6</f>
        <v>322.2745098</v>
      </c>
    </row>
    <row r="14" ht="12.75" customHeight="1">
      <c r="A14" s="3">
        <v>7.0</v>
      </c>
      <c r="B14" s="2" t="s">
        <v>10</v>
      </c>
      <c r="C14" s="9">
        <v>18.0</v>
      </c>
      <c r="D14" s="9">
        <v>11.0</v>
      </c>
      <c r="E14" s="9">
        <v>9.0</v>
      </c>
      <c r="F14" s="9">
        <v>66.0</v>
      </c>
      <c r="G14" s="9">
        <v>20.0</v>
      </c>
      <c r="H14" s="9">
        <v>52.0</v>
      </c>
      <c r="I14" s="9">
        <v>0.0</v>
      </c>
      <c r="J14" s="9">
        <v>69.0</v>
      </c>
      <c r="K14" s="9">
        <v>21.0</v>
      </c>
      <c r="L14" s="9">
        <v>47.0</v>
      </c>
      <c r="M14" s="9">
        <v>89.0</v>
      </c>
      <c r="N14" s="9">
        <v>78.0</v>
      </c>
      <c r="O14" s="9">
        <v>39.0</v>
      </c>
      <c r="P14" s="9">
        <v>87.0</v>
      </c>
      <c r="Q14" s="9">
        <v>13.0</v>
      </c>
      <c r="R14" s="9">
        <v>55.0</v>
      </c>
      <c r="S14" s="9">
        <v>36.0</v>
      </c>
      <c r="T14" s="9">
        <v>15.0</v>
      </c>
      <c r="U14" s="9">
        <v>9.0</v>
      </c>
      <c r="V14" s="9">
        <v>20.0</v>
      </c>
      <c r="W14" s="9">
        <v>25.0</v>
      </c>
      <c r="X14" s="10">
        <f t="shared" si="1"/>
        <v>603</v>
      </c>
      <c r="Y14" s="11">
        <f>I29</f>
        <v>137</v>
      </c>
      <c r="Z14" s="10">
        <f t="shared" si="2"/>
        <v>4575</v>
      </c>
      <c r="AA14" s="8">
        <f>Z14*Results!$C$13</f>
        <v>18300</v>
      </c>
      <c r="AB14" s="8">
        <f>AA14/Results!$C$6</f>
        <v>358.8235294</v>
      </c>
    </row>
    <row r="15" ht="12.75" customHeight="1">
      <c r="A15" s="3">
        <v>8.0</v>
      </c>
      <c r="B15" s="2" t="s">
        <v>11</v>
      </c>
      <c r="C15" s="9">
        <v>17.0</v>
      </c>
      <c r="D15" s="9">
        <v>11.0</v>
      </c>
      <c r="E15" s="9">
        <v>6.0</v>
      </c>
      <c r="F15" s="9">
        <v>127.0</v>
      </c>
      <c r="G15" s="9">
        <v>21.0</v>
      </c>
      <c r="H15" s="9">
        <v>72.0</v>
      </c>
      <c r="I15" s="9">
        <v>16.0</v>
      </c>
      <c r="J15" s="9">
        <v>0.0</v>
      </c>
      <c r="K15" s="9">
        <v>30.0</v>
      </c>
      <c r="L15" s="9">
        <v>43.0</v>
      </c>
      <c r="M15" s="9">
        <v>152.0</v>
      </c>
      <c r="N15" s="9">
        <v>131.0</v>
      </c>
      <c r="O15" s="9">
        <v>24.0</v>
      </c>
      <c r="P15" s="9">
        <v>140.0</v>
      </c>
      <c r="Q15" s="9">
        <v>12.0</v>
      </c>
      <c r="R15" s="9">
        <v>79.0</v>
      </c>
      <c r="S15" s="9">
        <v>67.0</v>
      </c>
      <c r="T15" s="9">
        <v>8.0</v>
      </c>
      <c r="U15" s="9">
        <v>11.0</v>
      </c>
      <c r="V15" s="9">
        <v>13.0</v>
      </c>
      <c r="W15" s="9">
        <v>15.0</v>
      </c>
      <c r="X15" s="10">
        <f t="shared" si="1"/>
        <v>725</v>
      </c>
      <c r="Y15" s="11">
        <f>J29</f>
        <v>471</v>
      </c>
      <c r="Z15" s="10">
        <f t="shared" si="2"/>
        <v>4829</v>
      </c>
      <c r="AA15" s="8">
        <f>Z15*Results!$C$13</f>
        <v>19316</v>
      </c>
      <c r="AB15" s="8">
        <f>AA15/Results!$C$6</f>
        <v>378.745098</v>
      </c>
    </row>
    <row r="16" ht="12.75" customHeight="1">
      <c r="A16" s="3">
        <v>9.0</v>
      </c>
      <c r="B16" s="2" t="s">
        <v>12</v>
      </c>
      <c r="C16" s="9">
        <v>6.0</v>
      </c>
      <c r="D16" s="9">
        <v>4.0</v>
      </c>
      <c r="E16" s="9">
        <v>3.0</v>
      </c>
      <c r="F16" s="9">
        <v>26.0</v>
      </c>
      <c r="G16" s="9">
        <v>14.0</v>
      </c>
      <c r="H16" s="9">
        <v>13.0</v>
      </c>
      <c r="I16" s="9">
        <v>7.0</v>
      </c>
      <c r="J16" s="9">
        <v>31.0</v>
      </c>
      <c r="K16" s="9">
        <v>0.0</v>
      </c>
      <c r="L16" s="9">
        <v>11.0</v>
      </c>
      <c r="M16" s="9">
        <v>32.0</v>
      </c>
      <c r="N16" s="9">
        <v>20.0</v>
      </c>
      <c r="O16" s="9">
        <v>15.0</v>
      </c>
      <c r="P16" s="9">
        <v>21.0</v>
      </c>
      <c r="Q16" s="9">
        <v>4.0</v>
      </c>
      <c r="R16" s="9">
        <v>11.0</v>
      </c>
      <c r="S16" s="9">
        <v>8.0</v>
      </c>
      <c r="T16" s="9">
        <v>4.0</v>
      </c>
      <c r="U16" s="9">
        <v>6.0</v>
      </c>
      <c r="V16" s="9">
        <v>9.0</v>
      </c>
      <c r="W16" s="9">
        <v>7.0</v>
      </c>
      <c r="X16" s="10">
        <f t="shared" si="1"/>
        <v>148</v>
      </c>
      <c r="Y16" s="11">
        <f>K29</f>
        <v>173</v>
      </c>
      <c r="Z16" s="10">
        <f t="shared" si="2"/>
        <v>4804</v>
      </c>
      <c r="AA16" s="8">
        <f>Z16*Results!$C$13</f>
        <v>19216</v>
      </c>
      <c r="AB16" s="8">
        <f>AA16/Results!$C$6</f>
        <v>376.7843137</v>
      </c>
    </row>
    <row r="17" ht="12.75" customHeight="1">
      <c r="A17" s="3">
        <v>10.0</v>
      </c>
      <c r="B17" s="2" t="s">
        <v>13</v>
      </c>
      <c r="C17" s="9">
        <v>14.0</v>
      </c>
      <c r="D17" s="9">
        <v>5.0</v>
      </c>
      <c r="E17" s="9">
        <v>3.0</v>
      </c>
      <c r="F17" s="9">
        <v>57.0</v>
      </c>
      <c r="G17" s="9">
        <v>19.0</v>
      </c>
      <c r="H17" s="9">
        <v>20.0</v>
      </c>
      <c r="I17" s="9">
        <v>23.0</v>
      </c>
      <c r="J17" s="9">
        <v>39.0</v>
      </c>
      <c r="K17" s="9">
        <v>18.0</v>
      </c>
      <c r="L17" s="9">
        <v>0.0</v>
      </c>
      <c r="M17" s="9">
        <v>61.0</v>
      </c>
      <c r="N17" s="9">
        <v>43.0</v>
      </c>
      <c r="O17" s="9">
        <v>18.0</v>
      </c>
      <c r="P17" s="9">
        <v>47.0</v>
      </c>
      <c r="Q17" s="9">
        <v>7.0</v>
      </c>
      <c r="R17" s="9">
        <v>27.0</v>
      </c>
      <c r="S17" s="9">
        <v>21.0</v>
      </c>
      <c r="T17" s="9">
        <v>5.0</v>
      </c>
      <c r="U17" s="9">
        <v>6.0</v>
      </c>
      <c r="V17" s="9">
        <v>16.0</v>
      </c>
      <c r="W17" s="9">
        <v>10.0</v>
      </c>
      <c r="X17" s="10">
        <f t="shared" si="1"/>
        <v>261</v>
      </c>
      <c r="Y17" s="11">
        <f>L29</f>
        <v>314</v>
      </c>
      <c r="Z17" s="10">
        <f t="shared" si="2"/>
        <v>4751</v>
      </c>
      <c r="AA17" s="8">
        <f>Z17*Results!$C$13</f>
        <v>19004</v>
      </c>
      <c r="AB17" s="8">
        <f>AA17/Results!$C$6</f>
        <v>372.627451</v>
      </c>
    </row>
    <row r="18" ht="12.75" customHeight="1">
      <c r="A18" s="3">
        <v>11.0</v>
      </c>
      <c r="B18" s="2" t="s">
        <v>14</v>
      </c>
      <c r="C18" s="9">
        <v>21.0</v>
      </c>
      <c r="D18" s="9">
        <v>10.0</v>
      </c>
      <c r="E18" s="9">
        <v>9.0</v>
      </c>
      <c r="F18" s="9">
        <v>246.0</v>
      </c>
      <c r="G18" s="9">
        <v>34.0</v>
      </c>
      <c r="H18" s="9">
        <v>75.0</v>
      </c>
      <c r="I18" s="9">
        <v>28.0</v>
      </c>
      <c r="J18" s="9">
        <v>102.0</v>
      </c>
      <c r="K18" s="9">
        <v>36.0</v>
      </c>
      <c r="L18" s="9">
        <v>49.0</v>
      </c>
      <c r="M18" s="9">
        <v>0.0</v>
      </c>
      <c r="N18" s="9">
        <v>231.0</v>
      </c>
      <c r="O18" s="9">
        <v>53.0</v>
      </c>
      <c r="P18" s="9">
        <v>169.0</v>
      </c>
      <c r="Q18" s="9">
        <v>22.0</v>
      </c>
      <c r="R18" s="9">
        <v>88.0</v>
      </c>
      <c r="S18" s="9">
        <v>36.0</v>
      </c>
      <c r="T18" s="9">
        <v>12.0</v>
      </c>
      <c r="U18" s="9">
        <v>13.0</v>
      </c>
      <c r="V18" s="9">
        <v>17.0</v>
      </c>
      <c r="W18" s="9">
        <v>17.0</v>
      </c>
      <c r="X18" s="10">
        <f t="shared" si="1"/>
        <v>658</v>
      </c>
      <c r="Y18" s="11">
        <f>M29</f>
        <v>1079</v>
      </c>
      <c r="Z18" s="10">
        <f t="shared" si="2"/>
        <v>4330</v>
      </c>
      <c r="AA18" s="8">
        <f>Z18*Results!$C$13</f>
        <v>17320</v>
      </c>
      <c r="AB18" s="8">
        <f>AA18/Results!$C$6</f>
        <v>339.6078431</v>
      </c>
    </row>
    <row r="19" ht="12.75" customHeight="1">
      <c r="A19" s="3">
        <v>12.0</v>
      </c>
      <c r="B19" s="2" t="s">
        <v>15</v>
      </c>
      <c r="C19" s="9">
        <v>30.0</v>
      </c>
      <c r="D19" s="9">
        <v>13.0</v>
      </c>
      <c r="E19" s="9">
        <v>10.0</v>
      </c>
      <c r="F19" s="9">
        <v>243.0</v>
      </c>
      <c r="G19" s="9">
        <v>33.0</v>
      </c>
      <c r="H19" s="9">
        <v>119.0</v>
      </c>
      <c r="I19" s="9">
        <v>31.0</v>
      </c>
      <c r="J19" s="9">
        <v>128.0</v>
      </c>
      <c r="K19" s="9">
        <v>26.0</v>
      </c>
      <c r="L19" s="9">
        <v>44.0</v>
      </c>
      <c r="M19" s="9">
        <v>205.0</v>
      </c>
      <c r="N19" s="9">
        <v>0.0</v>
      </c>
      <c r="O19" s="9">
        <v>35.0</v>
      </c>
      <c r="P19" s="9">
        <v>150.0</v>
      </c>
      <c r="Q19" s="9">
        <v>12.0</v>
      </c>
      <c r="R19" s="9">
        <v>112.0</v>
      </c>
      <c r="S19" s="9">
        <v>82.0</v>
      </c>
      <c r="T19" s="9">
        <v>8.0</v>
      </c>
      <c r="U19" s="9">
        <v>13.0</v>
      </c>
      <c r="V19" s="9">
        <v>20.0</v>
      </c>
      <c r="W19" s="9">
        <v>22.0</v>
      </c>
      <c r="X19" s="10">
        <f t="shared" si="1"/>
        <v>454</v>
      </c>
      <c r="Y19" s="11">
        <f>N29</f>
        <v>1181</v>
      </c>
      <c r="Z19" s="10">
        <f t="shared" si="2"/>
        <v>3603</v>
      </c>
      <c r="AA19" s="8">
        <f>Z19*Results!$C$13</f>
        <v>14412</v>
      </c>
      <c r="AB19" s="8">
        <f>AA19/Results!$C$6</f>
        <v>282.5882353</v>
      </c>
    </row>
    <row r="20" ht="12.75" customHeight="1">
      <c r="A20" s="3">
        <v>13.0</v>
      </c>
      <c r="B20" s="2" t="s">
        <v>16</v>
      </c>
      <c r="C20" s="9">
        <v>9.0</v>
      </c>
      <c r="D20" s="9">
        <v>5.0</v>
      </c>
      <c r="E20" s="9">
        <v>0.0</v>
      </c>
      <c r="F20" s="9">
        <v>44.0</v>
      </c>
      <c r="G20" s="9">
        <v>14.0</v>
      </c>
      <c r="H20" s="9">
        <v>21.0</v>
      </c>
      <c r="I20" s="9">
        <v>10.0</v>
      </c>
      <c r="J20" s="9">
        <v>40.0</v>
      </c>
      <c r="K20" s="9">
        <v>10.0</v>
      </c>
      <c r="L20" s="9">
        <v>26.0</v>
      </c>
      <c r="M20" s="9">
        <v>53.0</v>
      </c>
      <c r="N20" s="9">
        <v>42.0</v>
      </c>
      <c r="O20" s="9">
        <v>0.0</v>
      </c>
      <c r="P20" s="9">
        <v>41.0</v>
      </c>
      <c r="Q20" s="9">
        <v>8.0</v>
      </c>
      <c r="R20" s="9">
        <v>18.0</v>
      </c>
      <c r="S20" s="9">
        <v>13.0</v>
      </c>
      <c r="T20" s="9">
        <v>6.0</v>
      </c>
      <c r="U20" s="9">
        <v>5.0</v>
      </c>
      <c r="V20" s="9">
        <v>10.0</v>
      </c>
      <c r="W20" s="9">
        <v>9.0</v>
      </c>
      <c r="X20" s="10">
        <f t="shared" si="1"/>
        <v>110</v>
      </c>
      <c r="Y20" s="11">
        <f>O29</f>
        <v>338</v>
      </c>
      <c r="Z20" s="10">
        <f t="shared" si="2"/>
        <v>3375</v>
      </c>
      <c r="AA20" s="8">
        <f>Z20*Results!$C$13</f>
        <v>13500</v>
      </c>
      <c r="AB20" s="8">
        <f>AA20/Results!$C$6</f>
        <v>264.7058824</v>
      </c>
    </row>
    <row r="21" ht="12.75" customHeight="1">
      <c r="A21" s="3">
        <v>14.0</v>
      </c>
      <c r="B21" s="2" t="s">
        <v>17</v>
      </c>
      <c r="C21" s="9">
        <v>21.0</v>
      </c>
      <c r="D21" s="9">
        <v>11.0</v>
      </c>
      <c r="E21" s="9">
        <v>9.0</v>
      </c>
      <c r="F21" s="9">
        <v>141.0</v>
      </c>
      <c r="G21" s="9">
        <v>22.0</v>
      </c>
      <c r="H21" s="9">
        <v>77.0</v>
      </c>
      <c r="I21" s="9">
        <v>26.0</v>
      </c>
      <c r="J21" s="9">
        <v>95.0</v>
      </c>
      <c r="K21" s="9">
        <v>31.0</v>
      </c>
      <c r="L21" s="9">
        <v>44.0</v>
      </c>
      <c r="M21" s="9">
        <v>186.0</v>
      </c>
      <c r="N21" s="9">
        <v>172.0</v>
      </c>
      <c r="O21" s="9">
        <v>43.0</v>
      </c>
      <c r="P21" s="9">
        <v>0.0</v>
      </c>
      <c r="Q21" s="9">
        <v>15.0</v>
      </c>
      <c r="R21" s="9">
        <v>97.0</v>
      </c>
      <c r="S21" s="9">
        <v>75.0</v>
      </c>
      <c r="T21" s="9">
        <v>5.0</v>
      </c>
      <c r="U21" s="9">
        <v>10.0</v>
      </c>
      <c r="V21" s="9">
        <v>19.0</v>
      </c>
      <c r="W21" s="9">
        <v>17.0</v>
      </c>
      <c r="X21" s="10">
        <f t="shared" si="1"/>
        <v>238</v>
      </c>
      <c r="Y21" s="11">
        <f>P29</f>
        <v>1181</v>
      </c>
      <c r="Z21" s="10">
        <f t="shared" si="2"/>
        <v>2432</v>
      </c>
      <c r="AA21" s="8">
        <f>Z21*Results!$C$13</f>
        <v>9728</v>
      </c>
      <c r="AB21" s="8">
        <f>AA21/Results!$C$6</f>
        <v>190.745098</v>
      </c>
    </row>
    <row r="22" ht="12.75" customHeight="1">
      <c r="A22" s="3">
        <v>15.0</v>
      </c>
      <c r="B22" s="2" t="s">
        <v>18</v>
      </c>
      <c r="C22" s="9">
        <v>13.0</v>
      </c>
      <c r="D22" s="9">
        <v>7.0</v>
      </c>
      <c r="E22" s="9">
        <v>6.0</v>
      </c>
      <c r="F22" s="9">
        <v>43.0</v>
      </c>
      <c r="G22" s="9">
        <v>25.0</v>
      </c>
      <c r="H22" s="9">
        <v>35.0</v>
      </c>
      <c r="I22" s="9">
        <v>18.0</v>
      </c>
      <c r="J22" s="9">
        <v>32.0</v>
      </c>
      <c r="K22" s="9">
        <v>18.0</v>
      </c>
      <c r="L22" s="9">
        <v>24.0</v>
      </c>
      <c r="M22" s="9">
        <v>46.0</v>
      </c>
      <c r="N22" s="9">
        <v>51.0</v>
      </c>
      <c r="O22" s="9">
        <v>15.0</v>
      </c>
      <c r="P22" s="9">
        <v>48.0</v>
      </c>
      <c r="Q22" s="9">
        <v>0.0</v>
      </c>
      <c r="R22" s="9">
        <v>26.0</v>
      </c>
      <c r="S22" s="9">
        <v>28.0</v>
      </c>
      <c r="T22" s="9">
        <v>11.0</v>
      </c>
      <c r="U22" s="9">
        <v>10.0</v>
      </c>
      <c r="V22" s="9">
        <v>10.0</v>
      </c>
      <c r="W22" s="9">
        <v>13.0</v>
      </c>
      <c r="X22" s="10">
        <f t="shared" si="1"/>
        <v>98</v>
      </c>
      <c r="Y22" s="11">
        <f>Q29</f>
        <v>166</v>
      </c>
      <c r="Z22" s="10">
        <f t="shared" si="2"/>
        <v>2364</v>
      </c>
      <c r="AA22" s="8">
        <f>Z22*Results!$C$13</f>
        <v>9456</v>
      </c>
      <c r="AB22" s="8">
        <f>AA22/Results!$C$6</f>
        <v>185.4117647</v>
      </c>
    </row>
    <row r="23" ht="12.75" customHeight="1">
      <c r="A23" s="3">
        <v>16.0</v>
      </c>
      <c r="B23" s="2" t="s">
        <v>19</v>
      </c>
      <c r="C23" s="9">
        <v>32.0</v>
      </c>
      <c r="D23" s="9">
        <v>20.0</v>
      </c>
      <c r="E23" s="9">
        <v>17.0</v>
      </c>
      <c r="F23" s="9">
        <v>150.0</v>
      </c>
      <c r="G23" s="9">
        <v>40.0</v>
      </c>
      <c r="H23" s="9">
        <v>220.0</v>
      </c>
      <c r="I23" s="9">
        <v>60.0</v>
      </c>
      <c r="J23" s="9">
        <v>146.0</v>
      </c>
      <c r="K23" s="9">
        <v>27.0</v>
      </c>
      <c r="L23" s="9">
        <v>58.0</v>
      </c>
      <c r="M23" s="9">
        <v>364.0</v>
      </c>
      <c r="N23" s="9">
        <v>188.0</v>
      </c>
      <c r="O23" s="9">
        <v>77.0</v>
      </c>
      <c r="P23" s="9">
        <v>268.0</v>
      </c>
      <c r="Q23" s="9">
        <v>26.0</v>
      </c>
      <c r="R23" s="9">
        <v>0.0</v>
      </c>
      <c r="S23" s="9">
        <v>124.0</v>
      </c>
      <c r="T23" s="9">
        <v>26.0</v>
      </c>
      <c r="U23" s="9">
        <v>30.0</v>
      </c>
      <c r="V23" s="9">
        <v>37.0</v>
      </c>
      <c r="W23" s="9">
        <v>50.0</v>
      </c>
      <c r="X23" s="10">
        <f t="shared" si="1"/>
        <v>267</v>
      </c>
      <c r="Y23" s="11">
        <f>R29</f>
        <v>915</v>
      </c>
      <c r="Z23" s="10">
        <f t="shared" si="2"/>
        <v>1716</v>
      </c>
      <c r="AA23" s="8">
        <f>Z23*Results!$C$13</f>
        <v>6864</v>
      </c>
      <c r="AB23" s="8">
        <f>AA23/Results!$C$6</f>
        <v>134.5882353</v>
      </c>
    </row>
    <row r="24" ht="12.75" customHeight="1">
      <c r="A24" s="3">
        <v>17.0</v>
      </c>
      <c r="B24" s="2" t="s">
        <v>20</v>
      </c>
      <c r="C24" s="9">
        <v>30.0</v>
      </c>
      <c r="D24" s="9">
        <v>23.0</v>
      </c>
      <c r="E24" s="9">
        <v>13.0</v>
      </c>
      <c r="F24" s="9">
        <v>220.0</v>
      </c>
      <c r="G24" s="9">
        <v>39.0</v>
      </c>
      <c r="H24" s="9">
        <v>122.0</v>
      </c>
      <c r="I24" s="9">
        <v>46.0</v>
      </c>
      <c r="J24" s="9">
        <v>201.0</v>
      </c>
      <c r="K24" s="9">
        <v>50.0</v>
      </c>
      <c r="L24" s="9">
        <v>49.0</v>
      </c>
      <c r="M24" s="9">
        <v>174.0</v>
      </c>
      <c r="N24" s="9">
        <v>287.0</v>
      </c>
      <c r="O24" s="9">
        <v>57.0</v>
      </c>
      <c r="P24" s="9">
        <v>214.0</v>
      </c>
      <c r="Q24" s="9">
        <v>27.0</v>
      </c>
      <c r="R24" s="9">
        <v>162.0</v>
      </c>
      <c r="S24" s="9">
        <v>0.0</v>
      </c>
      <c r="T24" s="9">
        <v>16.0</v>
      </c>
      <c r="U24" s="9">
        <v>28.0</v>
      </c>
      <c r="V24" s="9">
        <v>45.0</v>
      </c>
      <c r="W24" s="9">
        <v>43.0</v>
      </c>
      <c r="X24" s="10">
        <f t="shared" si="1"/>
        <v>132</v>
      </c>
      <c r="Y24" s="11">
        <f>S29</f>
        <v>794</v>
      </c>
      <c r="Z24" s="10">
        <f t="shared" si="2"/>
        <v>1054</v>
      </c>
      <c r="AA24" s="8">
        <f>Z24*Results!$C$13</f>
        <v>4216</v>
      </c>
      <c r="AB24" s="8">
        <f>AA24/Results!$C$6</f>
        <v>82.66666667</v>
      </c>
    </row>
    <row r="25" ht="12.75" customHeight="1">
      <c r="A25" s="3">
        <v>18.0</v>
      </c>
      <c r="B25" s="2" t="s">
        <v>21</v>
      </c>
      <c r="C25" s="9">
        <v>7.0</v>
      </c>
      <c r="D25" s="9">
        <v>6.0</v>
      </c>
      <c r="E25" s="9">
        <v>9.0</v>
      </c>
      <c r="F25" s="9">
        <v>38.0</v>
      </c>
      <c r="G25" s="9">
        <v>16.0</v>
      </c>
      <c r="H25" s="9">
        <v>21.0</v>
      </c>
      <c r="I25" s="9">
        <v>12.0</v>
      </c>
      <c r="J25" s="9">
        <v>23.0</v>
      </c>
      <c r="K25" s="9">
        <v>11.0</v>
      </c>
      <c r="L25" s="9">
        <v>16.0</v>
      </c>
      <c r="M25" s="9">
        <v>44.0</v>
      </c>
      <c r="N25" s="9">
        <v>29.0</v>
      </c>
      <c r="O25" s="9">
        <v>18.0</v>
      </c>
      <c r="P25" s="9">
        <v>27.0</v>
      </c>
      <c r="Q25" s="9">
        <v>4.0</v>
      </c>
      <c r="R25" s="9">
        <v>22.0</v>
      </c>
      <c r="S25" s="9">
        <v>15.0</v>
      </c>
      <c r="T25" s="9">
        <v>0.0</v>
      </c>
      <c r="U25" s="9">
        <v>12.0</v>
      </c>
      <c r="V25" s="9">
        <v>10.0</v>
      </c>
      <c r="W25" s="9">
        <v>10.0</v>
      </c>
      <c r="X25" s="10">
        <f t="shared" si="1"/>
        <v>32</v>
      </c>
      <c r="Y25" s="11">
        <f>T29</f>
        <v>179</v>
      </c>
      <c r="Z25" s="10">
        <f t="shared" si="2"/>
        <v>907</v>
      </c>
      <c r="AA25" s="8">
        <f>Z25*Results!$C$13</f>
        <v>3628</v>
      </c>
      <c r="AB25" s="8">
        <f>AA25/Results!$C$6</f>
        <v>71.1372549</v>
      </c>
    </row>
    <row r="26" ht="12.75" customHeight="1">
      <c r="A26" s="3">
        <v>19.0</v>
      </c>
      <c r="B26" s="2" t="s">
        <v>22</v>
      </c>
      <c r="C26" s="9">
        <v>15.0</v>
      </c>
      <c r="D26" s="9">
        <v>8.0</v>
      </c>
      <c r="E26" s="9">
        <v>7.0</v>
      </c>
      <c r="F26" s="9">
        <v>30.0</v>
      </c>
      <c r="G26" s="9">
        <v>20.0</v>
      </c>
      <c r="H26" s="9">
        <v>19.0</v>
      </c>
      <c r="I26" s="9">
        <v>11.0</v>
      </c>
      <c r="J26" s="9">
        <v>43.0</v>
      </c>
      <c r="K26" s="9">
        <v>13.0</v>
      </c>
      <c r="L26" s="9">
        <v>25.0</v>
      </c>
      <c r="M26" s="9">
        <v>56.0</v>
      </c>
      <c r="N26" s="9">
        <v>39.0</v>
      </c>
      <c r="O26" s="9">
        <v>12.0</v>
      </c>
      <c r="P26" s="9">
        <v>50.0</v>
      </c>
      <c r="Q26" s="9">
        <v>12.0</v>
      </c>
      <c r="R26" s="9">
        <v>32.0</v>
      </c>
      <c r="S26" s="9">
        <v>24.0</v>
      </c>
      <c r="T26" s="9">
        <v>7.0</v>
      </c>
      <c r="U26" s="9">
        <v>0.0</v>
      </c>
      <c r="V26" s="9">
        <v>8.0</v>
      </c>
      <c r="W26" s="9">
        <v>16.0</v>
      </c>
      <c r="X26" s="10">
        <f t="shared" si="1"/>
        <v>24</v>
      </c>
      <c r="Y26" s="11">
        <f>U29</f>
        <v>226</v>
      </c>
      <c r="Z26" s="10">
        <f t="shared" si="2"/>
        <v>705</v>
      </c>
      <c r="AA26" s="8">
        <f>Z26*Results!$C$13</f>
        <v>2820</v>
      </c>
      <c r="AB26" s="8">
        <f>AA26/Results!$C$6</f>
        <v>55.29411765</v>
      </c>
    </row>
    <row r="27" ht="12.75" customHeight="1">
      <c r="A27" s="3">
        <v>20.0</v>
      </c>
      <c r="B27" s="2" t="s">
        <v>23</v>
      </c>
      <c r="C27" s="9">
        <v>26.0</v>
      </c>
      <c r="D27" s="9">
        <v>11.0</v>
      </c>
      <c r="E27" s="9">
        <v>7.0</v>
      </c>
      <c r="F27" s="9">
        <v>85.0</v>
      </c>
      <c r="G27" s="9">
        <v>25.0</v>
      </c>
      <c r="H27" s="9">
        <v>42.0</v>
      </c>
      <c r="I27" s="9">
        <v>13.0</v>
      </c>
      <c r="J27" s="9">
        <v>36.0</v>
      </c>
      <c r="K27" s="9">
        <v>17.0</v>
      </c>
      <c r="L27" s="9">
        <v>34.0</v>
      </c>
      <c r="M27" s="9">
        <v>41.0</v>
      </c>
      <c r="N27" s="9">
        <v>70.0</v>
      </c>
      <c r="O27" s="9">
        <v>36.0</v>
      </c>
      <c r="P27" s="9">
        <v>71.0</v>
      </c>
      <c r="Q27" s="9">
        <v>10.0</v>
      </c>
      <c r="R27" s="9">
        <v>45.0</v>
      </c>
      <c r="S27" s="9">
        <v>38.0</v>
      </c>
      <c r="T27" s="9">
        <v>8.0</v>
      </c>
      <c r="U27" s="9">
        <v>14.0</v>
      </c>
      <c r="V27" s="9">
        <v>0.0</v>
      </c>
      <c r="W27" s="9">
        <v>22.0</v>
      </c>
      <c r="X27" s="10">
        <f t="shared" si="1"/>
        <v>22</v>
      </c>
      <c r="Y27" s="11">
        <f>V29</f>
        <v>333</v>
      </c>
      <c r="Z27" s="10">
        <f t="shared" si="2"/>
        <v>394</v>
      </c>
      <c r="AA27" s="8">
        <f>Z27*Results!$C$13</f>
        <v>1576</v>
      </c>
      <c r="AB27" s="8">
        <f>AA27/Results!$C$6</f>
        <v>30.90196078</v>
      </c>
    </row>
    <row r="28" ht="12.75" customHeight="1">
      <c r="A28" s="3">
        <v>21.0</v>
      </c>
      <c r="B28" s="2" t="s">
        <v>24</v>
      </c>
      <c r="C28" s="9">
        <v>20.0</v>
      </c>
      <c r="D28" s="9">
        <v>9.0</v>
      </c>
      <c r="E28" s="9">
        <v>9.0</v>
      </c>
      <c r="F28" s="9">
        <v>63.0</v>
      </c>
      <c r="G28" s="9">
        <v>21.0</v>
      </c>
      <c r="H28" s="9">
        <v>29.0</v>
      </c>
      <c r="I28" s="9">
        <v>27.0</v>
      </c>
      <c r="J28" s="9">
        <v>56.0</v>
      </c>
      <c r="K28" s="9">
        <v>16.0</v>
      </c>
      <c r="L28" s="9">
        <v>28.0</v>
      </c>
      <c r="M28" s="9">
        <v>85.0</v>
      </c>
      <c r="N28" s="9">
        <v>45.0</v>
      </c>
      <c r="O28" s="9">
        <v>17.0</v>
      </c>
      <c r="P28" s="9">
        <v>51.0</v>
      </c>
      <c r="Q28" s="9">
        <v>16.0</v>
      </c>
      <c r="R28" s="9">
        <v>45.0</v>
      </c>
      <c r="S28" s="9">
        <v>40.0</v>
      </c>
      <c r="T28" s="9">
        <v>10.0</v>
      </c>
      <c r="U28" s="9">
        <v>17.0</v>
      </c>
      <c r="V28" s="9">
        <v>25.0</v>
      </c>
      <c r="W28" s="9">
        <v>0.0</v>
      </c>
      <c r="X28" s="10">
        <f t="shared" si="1"/>
        <v>0</v>
      </c>
      <c r="Y28" s="11">
        <f>W29</f>
        <v>394</v>
      </c>
      <c r="Z28" s="10">
        <f t="shared" si="2"/>
        <v>0</v>
      </c>
      <c r="AA28" s="8">
        <f>Z28*Results!$C$13</f>
        <v>0</v>
      </c>
      <c r="AB28" s="8">
        <f>AA28/Results!$C$6</f>
        <v>0</v>
      </c>
    </row>
    <row r="29" ht="12.75" customHeight="1">
      <c r="A29" s="3"/>
      <c r="B29" s="2"/>
      <c r="C29" s="12">
        <f t="array" ref="C29">SUM(IF($A$8:$A$28&lt;C$5,C8:C28,0))</f>
        <v>0</v>
      </c>
      <c r="D29" s="12">
        <f t="array" ref="D29">SUM(IF($A$8:$A$28&lt;D$5,D8:D28,0))</f>
        <v>7</v>
      </c>
      <c r="E29" s="12">
        <f t="array" ref="E29">SUM(IF($A$8:$A$28&lt;E$5,E8:E28,0))</f>
        <v>9</v>
      </c>
      <c r="F29" s="12">
        <f t="array" ref="F29">SUM(IF($A$8:$A$28&lt;F$5,F8:F28,0))</f>
        <v>116</v>
      </c>
      <c r="G29" s="12">
        <f t="array" ref="G29">SUM(IF($A$8:$A$28&lt;G$5,G8:G28,0))</f>
        <v>59</v>
      </c>
      <c r="H29" s="12">
        <f t="array" ref="H29">SUM(IF($A$8:$A$28&lt;H$5,H8:H28,0))</f>
        <v>136</v>
      </c>
      <c r="I29" s="12">
        <f t="array" ref="I29">SUM(IF($A$8:$A$28&lt;I$5,I8:I28,0))</f>
        <v>137</v>
      </c>
      <c r="J29" s="12">
        <f t="array" ref="J29">SUM(IF($A$8:$A$28&lt;J$5,J8:J28,0))</f>
        <v>471</v>
      </c>
      <c r="K29" s="12">
        <f t="array" ref="K29">SUM(IF($A$8:$A$28&lt;K$5,K8:K28,0))</f>
        <v>173</v>
      </c>
      <c r="L29" s="12">
        <f t="array" ref="L29">SUM(IF($A$8:$A$28&lt;L$5,L8:L28,0))</f>
        <v>314</v>
      </c>
      <c r="M29" s="12">
        <f t="array" ref="M29">SUM(IF($A$8:$A$28&lt;M$5,M8:M28,0))</f>
        <v>1079</v>
      </c>
      <c r="N29" s="12">
        <f t="array" ref="N29">SUM(IF($A$8:$A$28&lt;N$5,N8:N28,0))</f>
        <v>1181</v>
      </c>
      <c r="O29" s="12">
        <f t="array" ref="O29">SUM(IF($A$8:$A$28&lt;O$5,O8:O28,0))</f>
        <v>338</v>
      </c>
      <c r="P29" s="12">
        <f t="array" ref="P29">SUM(IF($A$8:$A$28&lt;P$5,P8:P28,0))</f>
        <v>1181</v>
      </c>
      <c r="Q29" s="12">
        <f t="array" ref="Q29">SUM(IF($A$8:$A$28&lt;Q$5,Q8:Q28,0))</f>
        <v>166</v>
      </c>
      <c r="R29" s="12">
        <f t="array" ref="R29">SUM(IF($A$8:$A$28&lt;R$5,R8:R28,0))</f>
        <v>915</v>
      </c>
      <c r="S29" s="12">
        <f t="array" ref="S29">SUM(IF($A$8:$A$28&lt;S$5,S8:S28,0))</f>
        <v>794</v>
      </c>
      <c r="T29" s="12">
        <f t="array" ref="T29">SUM(IF($A$8:$A$28&lt;T$5,T8:T28,0))</f>
        <v>179</v>
      </c>
      <c r="U29" s="12">
        <f t="array" ref="U29">SUM(IF($A$8:$A$28&lt;U$5,U8:U28,0))</f>
        <v>226</v>
      </c>
      <c r="V29" s="12">
        <f t="array" ref="V29">SUM(IF($A$8:$A$28&lt;V$5,V8:V28,0))</f>
        <v>333</v>
      </c>
      <c r="W29" s="12">
        <f t="array" ref="W29">SUM(IF($A$8:$A$28&lt;W$5,W8:W28,0))</f>
        <v>394</v>
      </c>
      <c r="X29" s="11"/>
    </row>
    <row r="30" ht="12.75" customHeight="1"/>
    <row r="31" ht="12.75" customHeight="1">
      <c r="A31" s="13" t="s">
        <v>29</v>
      </c>
    </row>
    <row r="32" ht="12.75" customHeight="1">
      <c r="A32" s="13" t="s">
        <v>30</v>
      </c>
    </row>
    <row r="33" ht="12.75" customHeight="1">
      <c r="A33" s="13" t="s">
        <v>31</v>
      </c>
    </row>
    <row r="34" ht="12.75" customHeight="1"/>
    <row r="35" ht="12.75" customHeight="1">
      <c r="A35" s="1" t="s">
        <v>32</v>
      </c>
      <c r="B35" s="1" t="s">
        <v>33</v>
      </c>
      <c r="V35" s="1"/>
    </row>
    <row r="36" ht="12.75" customHeight="1"/>
    <row r="37" ht="12.75" customHeight="1">
      <c r="B37" s="2" t="s">
        <v>2</v>
      </c>
      <c r="C37" s="3">
        <v>1.0</v>
      </c>
      <c r="D37" s="3">
        <v>2.0</v>
      </c>
      <c r="E37" s="3">
        <v>3.0</v>
      </c>
      <c r="F37" s="3">
        <v>4.0</v>
      </c>
      <c r="G37" s="3">
        <v>5.0</v>
      </c>
      <c r="H37" s="3">
        <v>6.0</v>
      </c>
      <c r="I37" s="3">
        <v>7.0</v>
      </c>
      <c r="J37" s="3">
        <v>8.0</v>
      </c>
      <c r="K37" s="3">
        <v>9.0</v>
      </c>
      <c r="L37" s="3">
        <v>10.0</v>
      </c>
      <c r="M37" s="3">
        <v>11.0</v>
      </c>
      <c r="N37" s="3">
        <v>12.0</v>
      </c>
      <c r="O37" s="3">
        <v>13.0</v>
      </c>
      <c r="P37" s="3">
        <v>14.0</v>
      </c>
      <c r="Q37" s="3">
        <v>15.0</v>
      </c>
      <c r="R37" s="3">
        <v>16.0</v>
      </c>
      <c r="S37" s="3">
        <v>17.0</v>
      </c>
      <c r="T37" s="3">
        <v>18.0</v>
      </c>
      <c r="U37" s="3">
        <v>19.0</v>
      </c>
      <c r="V37" s="3">
        <v>20.0</v>
      </c>
      <c r="W37" s="3">
        <v>21.0</v>
      </c>
    </row>
    <row r="38" ht="12.75" customHeight="1">
      <c r="B38" s="2" t="s">
        <v>3</v>
      </c>
      <c r="C38" s="2" t="s">
        <v>4</v>
      </c>
      <c r="D38" s="2" t="s">
        <v>5</v>
      </c>
      <c r="E38" s="2" t="s">
        <v>6</v>
      </c>
      <c r="F38" s="2" t="s">
        <v>7</v>
      </c>
      <c r="G38" s="2" t="s">
        <v>8</v>
      </c>
      <c r="H38" s="2" t="s">
        <v>9</v>
      </c>
      <c r="I38" s="2" t="s">
        <v>10</v>
      </c>
      <c r="J38" s="2" t="s">
        <v>11</v>
      </c>
      <c r="K38" s="2" t="s">
        <v>12</v>
      </c>
      <c r="L38" s="2" t="s">
        <v>13</v>
      </c>
      <c r="M38" s="2" t="s">
        <v>14</v>
      </c>
      <c r="N38" s="2" t="s">
        <v>15</v>
      </c>
      <c r="O38" s="2" t="s">
        <v>16</v>
      </c>
      <c r="P38" s="2" t="s">
        <v>17</v>
      </c>
      <c r="Q38" s="2" t="s">
        <v>18</v>
      </c>
      <c r="R38" s="2" t="s">
        <v>19</v>
      </c>
      <c r="S38" s="2" t="s">
        <v>20</v>
      </c>
      <c r="T38" s="2" t="s">
        <v>21</v>
      </c>
      <c r="U38" s="2" t="s">
        <v>22</v>
      </c>
      <c r="V38" s="2" t="s">
        <v>23</v>
      </c>
      <c r="W38" s="2" t="s">
        <v>24</v>
      </c>
    </row>
    <row r="39" ht="12.75" customHeight="1">
      <c r="B39" s="4" t="s">
        <v>25</v>
      </c>
      <c r="C39" s="5">
        <v>0.0</v>
      </c>
      <c r="D39" s="6">
        <v>0.75</v>
      </c>
      <c r="E39" s="7">
        <v>1.2</v>
      </c>
      <c r="F39" s="7">
        <v>1.7</v>
      </c>
      <c r="G39" s="7">
        <v>2.0</v>
      </c>
      <c r="H39" s="7">
        <v>3.0</v>
      </c>
      <c r="I39" s="7">
        <v>3.3</v>
      </c>
      <c r="J39" s="7">
        <v>3.7</v>
      </c>
      <c r="K39" s="7">
        <v>4.4</v>
      </c>
      <c r="L39" s="7">
        <v>4.9</v>
      </c>
      <c r="M39" s="7">
        <v>5.4</v>
      </c>
      <c r="N39" s="7">
        <v>6.1</v>
      </c>
      <c r="O39" s="7">
        <v>6.6</v>
      </c>
      <c r="P39" s="7">
        <v>7.2</v>
      </c>
      <c r="Q39" s="7">
        <v>7.5</v>
      </c>
      <c r="R39" s="7">
        <v>8.2</v>
      </c>
      <c r="S39" s="7">
        <v>8.9</v>
      </c>
      <c r="T39" s="7">
        <v>9.5</v>
      </c>
      <c r="U39" s="7">
        <v>10.4</v>
      </c>
      <c r="V39" s="7">
        <v>10.9</v>
      </c>
      <c r="W39" s="7">
        <v>11.4</v>
      </c>
      <c r="X39" s="8" t="s">
        <v>26</v>
      </c>
      <c r="Y39" s="8" t="s">
        <v>27</v>
      </c>
      <c r="Z39" s="8" t="s">
        <v>28</v>
      </c>
    </row>
    <row r="40" ht="12.75" customHeight="1">
      <c r="A40" s="3">
        <v>1.0</v>
      </c>
      <c r="B40" s="2" t="s">
        <v>4</v>
      </c>
      <c r="C40" s="9">
        <v>0.0</v>
      </c>
      <c r="D40" s="9">
        <v>2.0</v>
      </c>
      <c r="E40" s="9">
        <v>1.0</v>
      </c>
      <c r="F40" s="9">
        <v>10.0</v>
      </c>
      <c r="G40" s="9">
        <v>3.0</v>
      </c>
      <c r="H40" s="9">
        <v>8.0</v>
      </c>
      <c r="I40" s="9">
        <v>5.0</v>
      </c>
      <c r="J40" s="9">
        <v>5.0</v>
      </c>
      <c r="K40" s="9">
        <v>4.0</v>
      </c>
      <c r="L40" s="9">
        <v>4.0</v>
      </c>
      <c r="M40" s="9">
        <v>8.0</v>
      </c>
      <c r="N40" s="9">
        <v>16.0</v>
      </c>
      <c r="O40" s="9">
        <v>6.0</v>
      </c>
      <c r="P40" s="9">
        <v>8.0</v>
      </c>
      <c r="Q40" s="9">
        <v>3.0</v>
      </c>
      <c r="R40" s="9">
        <v>10.0</v>
      </c>
      <c r="S40" s="9">
        <v>8.0</v>
      </c>
      <c r="T40" s="9">
        <v>3.0</v>
      </c>
      <c r="U40" s="9">
        <v>4.0</v>
      </c>
      <c r="V40" s="9">
        <v>7.0</v>
      </c>
      <c r="W40" s="9">
        <v>4.0</v>
      </c>
      <c r="X40" s="10">
        <f t="shared" ref="X40:X60" si="3">SUMIFS(C40:W40,$C$37:$W$37,"&gt;"&amp;A40)</f>
        <v>119</v>
      </c>
      <c r="Y40" s="11">
        <f>C61</f>
        <v>0</v>
      </c>
      <c r="Z40" s="10">
        <f>X40-Y40</f>
        <v>119</v>
      </c>
      <c r="AA40" s="8">
        <f>Z40*Results!$C$13</f>
        <v>476</v>
      </c>
      <c r="AB40" s="8">
        <f>AA40/Results!$C$6</f>
        <v>9.333333333</v>
      </c>
    </row>
    <row r="41" ht="12.75" customHeight="1">
      <c r="A41" s="3">
        <v>2.0</v>
      </c>
      <c r="B41" s="2" t="s">
        <v>5</v>
      </c>
      <c r="C41" s="9">
        <v>2.0</v>
      </c>
      <c r="D41" s="9">
        <v>0.0</v>
      </c>
      <c r="E41" s="9">
        <v>2.0</v>
      </c>
      <c r="F41" s="9">
        <v>5.0</v>
      </c>
      <c r="G41" s="9">
        <v>1.0</v>
      </c>
      <c r="H41" s="9">
        <v>5.0</v>
      </c>
      <c r="I41" s="9">
        <v>3.0</v>
      </c>
      <c r="J41" s="9">
        <v>6.0</v>
      </c>
      <c r="K41" s="9">
        <v>2.0</v>
      </c>
      <c r="L41" s="9">
        <v>4.0</v>
      </c>
      <c r="M41" s="9">
        <v>4.0</v>
      </c>
      <c r="N41" s="9">
        <v>7.0</v>
      </c>
      <c r="O41" s="9">
        <v>3.0</v>
      </c>
      <c r="P41" s="9">
        <v>5.0</v>
      </c>
      <c r="Q41" s="9">
        <v>2.0</v>
      </c>
      <c r="R41" s="9">
        <v>7.0</v>
      </c>
      <c r="S41" s="9">
        <v>4.0</v>
      </c>
      <c r="T41" s="9">
        <v>3.0</v>
      </c>
      <c r="U41" s="9">
        <v>3.0</v>
      </c>
      <c r="V41" s="9">
        <v>2.0</v>
      </c>
      <c r="W41" s="9">
        <v>3.0</v>
      </c>
      <c r="X41" s="10">
        <f t="shared" si="3"/>
        <v>71</v>
      </c>
      <c r="Y41" s="11">
        <f>D61</f>
        <v>2</v>
      </c>
      <c r="Z41" s="10">
        <f t="shared" ref="Z41:Z60" si="4">Z40+X41-Y41</f>
        <v>188</v>
      </c>
      <c r="AA41" s="8">
        <f>Z41*Results!$C$13</f>
        <v>752</v>
      </c>
      <c r="AB41" s="8">
        <f>AA41/Results!$C$6</f>
        <v>14.74509804</v>
      </c>
    </row>
    <row r="42" ht="12.75" customHeight="1">
      <c r="A42" s="3">
        <v>3.0</v>
      </c>
      <c r="B42" s="2" t="s">
        <v>6</v>
      </c>
      <c r="C42" s="9">
        <v>2.0</v>
      </c>
      <c r="D42" s="9">
        <v>1.0</v>
      </c>
      <c r="E42" s="9">
        <v>0.0</v>
      </c>
      <c r="F42" s="9">
        <v>6.0</v>
      </c>
      <c r="G42" s="9">
        <v>2.0</v>
      </c>
      <c r="H42" s="9">
        <v>4.0</v>
      </c>
      <c r="I42" s="9">
        <v>3.0</v>
      </c>
      <c r="J42" s="9">
        <v>4.0</v>
      </c>
      <c r="K42" s="9">
        <v>2.0</v>
      </c>
      <c r="L42" s="9">
        <v>3.0</v>
      </c>
      <c r="M42" s="9">
        <v>3.0</v>
      </c>
      <c r="N42" s="9">
        <v>7.0</v>
      </c>
      <c r="O42" s="9">
        <v>0.0</v>
      </c>
      <c r="P42" s="9">
        <v>5.0</v>
      </c>
      <c r="Q42" s="9">
        <v>1.0</v>
      </c>
      <c r="R42" s="9">
        <v>3.0</v>
      </c>
      <c r="S42" s="9">
        <v>4.0</v>
      </c>
      <c r="T42" s="9">
        <v>1.0</v>
      </c>
      <c r="U42" s="9">
        <v>2.0</v>
      </c>
      <c r="V42" s="9">
        <v>2.0</v>
      </c>
      <c r="W42" s="9">
        <v>2.0</v>
      </c>
      <c r="X42" s="10">
        <f t="shared" si="3"/>
        <v>54</v>
      </c>
      <c r="Y42" s="11">
        <f>E61</f>
        <v>3</v>
      </c>
      <c r="Z42" s="10">
        <f t="shared" si="4"/>
        <v>239</v>
      </c>
      <c r="AA42" s="8">
        <f>Z42*Results!$C$13</f>
        <v>956</v>
      </c>
      <c r="AB42" s="8">
        <f>AA42/Results!$C$6</f>
        <v>18.74509804</v>
      </c>
    </row>
    <row r="43" ht="12.75" customHeight="1">
      <c r="A43" s="3">
        <v>4.0</v>
      </c>
      <c r="B43" s="2" t="s">
        <v>7</v>
      </c>
      <c r="C43" s="9">
        <v>12.0</v>
      </c>
      <c r="D43" s="9">
        <v>7.0</v>
      </c>
      <c r="E43" s="9">
        <v>5.0</v>
      </c>
      <c r="F43" s="9">
        <v>0.0</v>
      </c>
      <c r="G43" s="9">
        <v>6.0</v>
      </c>
      <c r="H43" s="9">
        <v>34.0</v>
      </c>
      <c r="I43" s="9">
        <v>12.0</v>
      </c>
      <c r="J43" s="9">
        <v>34.0</v>
      </c>
      <c r="K43" s="9">
        <v>9.0</v>
      </c>
      <c r="L43" s="9">
        <v>14.0</v>
      </c>
      <c r="M43" s="9">
        <v>44.0</v>
      </c>
      <c r="N43" s="9">
        <v>54.0</v>
      </c>
      <c r="O43" s="9">
        <v>10.0</v>
      </c>
      <c r="P43" s="9">
        <v>47.0</v>
      </c>
      <c r="Q43" s="9">
        <v>8.0</v>
      </c>
      <c r="R43" s="9">
        <v>47.0</v>
      </c>
      <c r="S43" s="9">
        <v>40.0</v>
      </c>
      <c r="T43" s="9">
        <v>7.0</v>
      </c>
      <c r="U43" s="9">
        <v>6.0</v>
      </c>
      <c r="V43" s="9">
        <v>17.0</v>
      </c>
      <c r="W43" s="9">
        <v>12.0</v>
      </c>
      <c r="X43" s="10">
        <f t="shared" si="3"/>
        <v>401</v>
      </c>
      <c r="Y43" s="11">
        <f>F61</f>
        <v>21</v>
      </c>
      <c r="Z43" s="10">
        <f t="shared" si="4"/>
        <v>619</v>
      </c>
      <c r="AA43" s="8">
        <f>Z43*Results!$C$13</f>
        <v>2476</v>
      </c>
      <c r="AB43" s="8">
        <f>AA43/Results!$C$6</f>
        <v>48.54901961</v>
      </c>
    </row>
    <row r="44" ht="12.75" customHeight="1">
      <c r="A44" s="3">
        <v>5.0</v>
      </c>
      <c r="B44" s="2" t="s">
        <v>8</v>
      </c>
      <c r="C44" s="9">
        <v>3.0</v>
      </c>
      <c r="D44" s="9">
        <v>2.0</v>
      </c>
      <c r="E44" s="9">
        <v>2.0</v>
      </c>
      <c r="F44" s="9">
        <v>8.0</v>
      </c>
      <c r="G44" s="9">
        <v>0.0</v>
      </c>
      <c r="H44" s="9">
        <v>5.0</v>
      </c>
      <c r="I44" s="9">
        <v>4.0</v>
      </c>
      <c r="J44" s="9">
        <v>6.0</v>
      </c>
      <c r="K44" s="9">
        <v>2.0</v>
      </c>
      <c r="L44" s="9">
        <v>5.0</v>
      </c>
      <c r="M44" s="9">
        <v>4.0</v>
      </c>
      <c r="N44" s="9">
        <v>7.0</v>
      </c>
      <c r="O44" s="9">
        <v>2.0</v>
      </c>
      <c r="P44" s="9">
        <v>10.0</v>
      </c>
      <c r="Q44" s="9">
        <v>1.0</v>
      </c>
      <c r="R44" s="9">
        <v>4.0</v>
      </c>
      <c r="S44" s="9">
        <v>4.0</v>
      </c>
      <c r="T44" s="9">
        <v>2.0</v>
      </c>
      <c r="U44" s="9">
        <v>2.0</v>
      </c>
      <c r="V44" s="9">
        <v>4.0</v>
      </c>
      <c r="W44" s="9">
        <v>4.0</v>
      </c>
      <c r="X44" s="10">
        <f t="shared" si="3"/>
        <v>66</v>
      </c>
      <c r="Y44" s="11">
        <f>G61</f>
        <v>12</v>
      </c>
      <c r="Z44" s="10">
        <f t="shared" si="4"/>
        <v>673</v>
      </c>
      <c r="AA44" s="8">
        <f>Z44*Results!$C$13</f>
        <v>2692</v>
      </c>
      <c r="AB44" s="8">
        <f>AA44/Results!$C$6</f>
        <v>52.78431373</v>
      </c>
    </row>
    <row r="45" ht="12.75" customHeight="1">
      <c r="A45" s="3">
        <v>6.0</v>
      </c>
      <c r="B45" s="2" t="s">
        <v>9</v>
      </c>
      <c r="C45" s="9">
        <v>10.0</v>
      </c>
      <c r="D45" s="9">
        <v>6.0</v>
      </c>
      <c r="E45" s="9">
        <v>3.0</v>
      </c>
      <c r="F45" s="9">
        <v>60.0</v>
      </c>
      <c r="G45" s="9">
        <v>6.0</v>
      </c>
      <c r="H45" s="9">
        <v>0.0</v>
      </c>
      <c r="I45" s="9">
        <v>16.0</v>
      </c>
      <c r="J45" s="9">
        <v>32.0</v>
      </c>
      <c r="K45" s="9">
        <v>5.0</v>
      </c>
      <c r="L45" s="9">
        <v>13.0</v>
      </c>
      <c r="M45" s="9">
        <v>56.0</v>
      </c>
      <c r="N45" s="9">
        <v>32.0</v>
      </c>
      <c r="O45" s="9">
        <v>13.0</v>
      </c>
      <c r="P45" s="9">
        <v>31.0</v>
      </c>
      <c r="Q45" s="9">
        <v>7.0</v>
      </c>
      <c r="R45" s="9">
        <v>70.0</v>
      </c>
      <c r="S45" s="9">
        <v>21.0</v>
      </c>
      <c r="T45" s="9">
        <v>4.0</v>
      </c>
      <c r="U45" s="9">
        <v>7.0</v>
      </c>
      <c r="V45" s="9">
        <v>9.0</v>
      </c>
      <c r="W45" s="9">
        <v>5.0</v>
      </c>
      <c r="X45" s="10">
        <f t="shared" si="3"/>
        <v>321</v>
      </c>
      <c r="Y45" s="11">
        <f>H61</f>
        <v>56</v>
      </c>
      <c r="Z45" s="10">
        <f t="shared" si="4"/>
        <v>938</v>
      </c>
      <c r="AA45" s="8">
        <f>Z45*Results!$C$13</f>
        <v>3752</v>
      </c>
      <c r="AB45" s="8">
        <f>AA45/Results!$C$6</f>
        <v>73.56862745</v>
      </c>
    </row>
    <row r="46" ht="12.75" customHeight="1">
      <c r="A46" s="3">
        <v>7.0</v>
      </c>
      <c r="B46" s="2" t="s">
        <v>10</v>
      </c>
      <c r="C46" s="9">
        <v>8.0</v>
      </c>
      <c r="D46" s="9">
        <v>3.0</v>
      </c>
      <c r="E46" s="9">
        <v>1.0</v>
      </c>
      <c r="F46" s="9">
        <v>17.0</v>
      </c>
      <c r="G46" s="9">
        <v>3.0</v>
      </c>
      <c r="H46" s="9">
        <v>13.0</v>
      </c>
      <c r="I46" s="9">
        <v>0.0</v>
      </c>
      <c r="J46" s="9">
        <v>11.0</v>
      </c>
      <c r="K46" s="9">
        <v>1.0</v>
      </c>
      <c r="L46" s="9">
        <v>6.0</v>
      </c>
      <c r="M46" s="9">
        <v>11.0</v>
      </c>
      <c r="N46" s="9">
        <v>13.0</v>
      </c>
      <c r="O46" s="9">
        <v>3.0</v>
      </c>
      <c r="P46" s="9">
        <v>17.0</v>
      </c>
      <c r="Q46" s="9">
        <v>5.0</v>
      </c>
      <c r="R46" s="9">
        <v>15.0</v>
      </c>
      <c r="S46" s="9">
        <v>7.0</v>
      </c>
      <c r="T46" s="9">
        <v>4.0</v>
      </c>
      <c r="U46" s="9">
        <v>4.0</v>
      </c>
      <c r="V46" s="9">
        <v>5.0</v>
      </c>
      <c r="W46" s="9">
        <v>5.0</v>
      </c>
      <c r="X46" s="10">
        <f t="shared" si="3"/>
        <v>107</v>
      </c>
      <c r="Y46" s="11">
        <f>I61</f>
        <v>43</v>
      </c>
      <c r="Z46" s="10">
        <f t="shared" si="4"/>
        <v>1002</v>
      </c>
      <c r="AA46" s="8">
        <f>Z46*Results!$C$13</f>
        <v>4008</v>
      </c>
      <c r="AB46" s="8">
        <f>AA46/Results!$C$6</f>
        <v>78.58823529</v>
      </c>
    </row>
    <row r="47" ht="12.75" customHeight="1">
      <c r="A47" s="3">
        <v>8.0</v>
      </c>
      <c r="B47" s="2" t="s">
        <v>11</v>
      </c>
      <c r="C47" s="9">
        <v>11.0</v>
      </c>
      <c r="D47" s="9">
        <v>4.0</v>
      </c>
      <c r="E47" s="9">
        <v>3.0</v>
      </c>
      <c r="F47" s="9">
        <v>34.0</v>
      </c>
      <c r="G47" s="9">
        <v>7.0</v>
      </c>
      <c r="H47" s="9">
        <v>28.0</v>
      </c>
      <c r="I47" s="9">
        <v>13.0</v>
      </c>
      <c r="J47" s="9">
        <v>0.0</v>
      </c>
      <c r="K47" s="9">
        <v>5.0</v>
      </c>
      <c r="L47" s="9">
        <v>13.0</v>
      </c>
      <c r="M47" s="9">
        <v>33.0</v>
      </c>
      <c r="N47" s="9">
        <v>32.0</v>
      </c>
      <c r="O47" s="9">
        <v>3.0</v>
      </c>
      <c r="P47" s="9">
        <v>20.0</v>
      </c>
      <c r="Q47" s="9">
        <v>6.0</v>
      </c>
      <c r="R47" s="9">
        <v>31.0</v>
      </c>
      <c r="S47" s="9">
        <v>25.0</v>
      </c>
      <c r="T47" s="9">
        <v>3.0</v>
      </c>
      <c r="U47" s="9">
        <v>4.0</v>
      </c>
      <c r="V47" s="9">
        <v>9.0</v>
      </c>
      <c r="W47" s="9">
        <v>12.0</v>
      </c>
      <c r="X47" s="10">
        <f t="shared" si="3"/>
        <v>196</v>
      </c>
      <c r="Y47" s="11">
        <f>J61</f>
        <v>98</v>
      </c>
      <c r="Z47" s="10">
        <f t="shared" si="4"/>
        <v>1100</v>
      </c>
      <c r="AA47" s="8">
        <f>Z47*Results!$C$13</f>
        <v>4400</v>
      </c>
      <c r="AB47" s="8">
        <f>AA47/Results!$C$6</f>
        <v>86.2745098</v>
      </c>
    </row>
    <row r="48" ht="12.75" customHeight="1">
      <c r="A48" s="3">
        <v>9.0</v>
      </c>
      <c r="B48" s="2" t="s">
        <v>12</v>
      </c>
      <c r="C48" s="9">
        <v>5.0</v>
      </c>
      <c r="D48" s="9">
        <v>1.0</v>
      </c>
      <c r="E48" s="9">
        <v>1.0</v>
      </c>
      <c r="F48" s="9">
        <v>12.0</v>
      </c>
      <c r="G48" s="9">
        <v>3.0</v>
      </c>
      <c r="H48" s="9">
        <v>5.0</v>
      </c>
      <c r="I48" s="9">
        <v>6.0</v>
      </c>
      <c r="J48" s="9">
        <v>6.0</v>
      </c>
      <c r="K48" s="9">
        <v>0.0</v>
      </c>
      <c r="L48" s="9">
        <v>4.0</v>
      </c>
      <c r="M48" s="9">
        <v>10.0</v>
      </c>
      <c r="N48" s="9">
        <v>8.0</v>
      </c>
      <c r="O48" s="9">
        <v>4.0</v>
      </c>
      <c r="P48" s="9">
        <v>8.0</v>
      </c>
      <c r="Q48" s="9">
        <v>1.0</v>
      </c>
      <c r="R48" s="9">
        <v>10.0</v>
      </c>
      <c r="S48" s="9">
        <v>3.0</v>
      </c>
      <c r="T48" s="9">
        <v>2.0</v>
      </c>
      <c r="U48" s="9">
        <v>3.0</v>
      </c>
      <c r="V48" s="9">
        <v>3.0</v>
      </c>
      <c r="W48" s="9">
        <v>2.0</v>
      </c>
      <c r="X48" s="10">
        <f t="shared" si="3"/>
        <v>58</v>
      </c>
      <c r="Y48" s="11">
        <f>K61</f>
        <v>30</v>
      </c>
      <c r="Z48" s="10">
        <f t="shared" si="4"/>
        <v>1128</v>
      </c>
      <c r="AA48" s="8">
        <f>Z48*Results!$C$13</f>
        <v>4512</v>
      </c>
      <c r="AB48" s="8">
        <f>AA48/Results!$C$6</f>
        <v>88.47058824</v>
      </c>
    </row>
    <row r="49" ht="12.75" customHeight="1">
      <c r="A49" s="3">
        <v>10.0</v>
      </c>
      <c r="B49" s="2" t="s">
        <v>13</v>
      </c>
      <c r="C49" s="9">
        <v>4.0</v>
      </c>
      <c r="D49" s="9">
        <v>2.0</v>
      </c>
      <c r="E49" s="9">
        <v>3.0</v>
      </c>
      <c r="F49" s="9">
        <v>12.0</v>
      </c>
      <c r="G49" s="9">
        <v>4.0</v>
      </c>
      <c r="H49" s="9">
        <v>9.0</v>
      </c>
      <c r="I49" s="9">
        <v>11.0</v>
      </c>
      <c r="J49" s="9">
        <v>13.0</v>
      </c>
      <c r="K49" s="9">
        <v>3.0</v>
      </c>
      <c r="L49" s="9">
        <v>0.0</v>
      </c>
      <c r="M49" s="9">
        <v>15.0</v>
      </c>
      <c r="N49" s="9">
        <v>7.0</v>
      </c>
      <c r="O49" s="9">
        <v>6.0</v>
      </c>
      <c r="P49" s="9">
        <v>15.0</v>
      </c>
      <c r="Q49" s="9">
        <v>3.0</v>
      </c>
      <c r="R49" s="9">
        <v>12.0</v>
      </c>
      <c r="S49" s="9">
        <v>6.0</v>
      </c>
      <c r="T49" s="9">
        <v>3.0</v>
      </c>
      <c r="U49" s="9">
        <v>4.0</v>
      </c>
      <c r="V49" s="9">
        <v>7.0</v>
      </c>
      <c r="W49" s="9">
        <v>4.0</v>
      </c>
      <c r="X49" s="10">
        <f t="shared" si="3"/>
        <v>82</v>
      </c>
      <c r="Y49" s="11">
        <f>L61</f>
        <v>66</v>
      </c>
      <c r="Z49" s="10">
        <f t="shared" si="4"/>
        <v>1144</v>
      </c>
      <c r="AA49" s="8">
        <f>Z49*Results!$C$13</f>
        <v>4576</v>
      </c>
      <c r="AB49" s="8">
        <f>AA49/Results!$C$6</f>
        <v>89.7254902</v>
      </c>
    </row>
    <row r="50" ht="12.75" customHeight="1">
      <c r="A50" s="3">
        <v>11.0</v>
      </c>
      <c r="B50" s="2" t="s">
        <v>14</v>
      </c>
      <c r="C50" s="9">
        <v>3.0</v>
      </c>
      <c r="D50" s="9">
        <v>5.0</v>
      </c>
      <c r="E50" s="9">
        <v>6.0</v>
      </c>
      <c r="F50" s="9">
        <v>71.0</v>
      </c>
      <c r="G50" s="9">
        <v>4.0</v>
      </c>
      <c r="H50" s="9">
        <v>74.0</v>
      </c>
      <c r="I50" s="9">
        <v>19.0</v>
      </c>
      <c r="J50" s="9">
        <v>37.0</v>
      </c>
      <c r="K50" s="9">
        <v>7.0</v>
      </c>
      <c r="L50" s="9">
        <v>12.0</v>
      </c>
      <c r="M50" s="9">
        <v>0.0</v>
      </c>
      <c r="N50" s="9">
        <v>64.0</v>
      </c>
      <c r="O50" s="9">
        <v>7.0</v>
      </c>
      <c r="P50" s="9">
        <v>50.0</v>
      </c>
      <c r="Q50" s="9">
        <v>10.0</v>
      </c>
      <c r="R50" s="9">
        <v>81.0</v>
      </c>
      <c r="S50" s="9">
        <v>34.0</v>
      </c>
      <c r="T50" s="9">
        <v>7.0</v>
      </c>
      <c r="U50" s="9">
        <v>8.0</v>
      </c>
      <c r="V50" s="9">
        <v>11.0</v>
      </c>
      <c r="W50" s="9">
        <v>13.0</v>
      </c>
      <c r="X50" s="10">
        <f t="shared" si="3"/>
        <v>285</v>
      </c>
      <c r="Y50" s="11">
        <f>M61</f>
        <v>188</v>
      </c>
      <c r="Z50" s="10">
        <f t="shared" si="4"/>
        <v>1241</v>
      </c>
      <c r="AA50" s="8">
        <f>Z50*Results!$C$13</f>
        <v>4964</v>
      </c>
      <c r="AB50" s="8">
        <f>AA50/Results!$C$6</f>
        <v>97.33333333</v>
      </c>
    </row>
    <row r="51" ht="12.75" customHeight="1">
      <c r="A51" s="3">
        <v>12.0</v>
      </c>
      <c r="B51" s="2" t="s">
        <v>15</v>
      </c>
      <c r="C51" s="9">
        <v>17.0</v>
      </c>
      <c r="D51" s="9">
        <v>7.0</v>
      </c>
      <c r="E51" s="9">
        <v>6.0</v>
      </c>
      <c r="F51" s="9">
        <v>84.0</v>
      </c>
      <c r="G51" s="9">
        <v>3.0</v>
      </c>
      <c r="H51" s="9">
        <v>47.0</v>
      </c>
      <c r="I51" s="9">
        <v>22.0</v>
      </c>
      <c r="J51" s="9">
        <v>33.0</v>
      </c>
      <c r="K51" s="9">
        <v>9.0</v>
      </c>
      <c r="L51" s="9">
        <v>17.0</v>
      </c>
      <c r="M51" s="9">
        <v>42.0</v>
      </c>
      <c r="N51" s="9">
        <v>0.0</v>
      </c>
      <c r="O51" s="9">
        <v>12.0</v>
      </c>
      <c r="P51" s="9">
        <v>23.0</v>
      </c>
      <c r="Q51" s="9">
        <v>10.0</v>
      </c>
      <c r="R51" s="9">
        <v>19.0</v>
      </c>
      <c r="S51" s="9">
        <v>19.0</v>
      </c>
      <c r="T51" s="9">
        <v>9.0</v>
      </c>
      <c r="U51" s="9">
        <v>8.0</v>
      </c>
      <c r="V51" s="9">
        <v>12.0</v>
      </c>
      <c r="W51" s="9">
        <v>10.0</v>
      </c>
      <c r="X51" s="10">
        <f t="shared" si="3"/>
        <v>122</v>
      </c>
      <c r="Y51" s="11">
        <f>N61</f>
        <v>247</v>
      </c>
      <c r="Z51" s="10">
        <f t="shared" si="4"/>
        <v>1116</v>
      </c>
      <c r="AA51" s="8">
        <f>Z51*Results!$C$13</f>
        <v>4464</v>
      </c>
      <c r="AB51" s="8">
        <f>AA51/Results!$C$6</f>
        <v>87.52941176</v>
      </c>
    </row>
    <row r="52" ht="12.75" customHeight="1">
      <c r="A52" s="3">
        <v>13.0</v>
      </c>
      <c r="B52" s="2" t="s">
        <v>16</v>
      </c>
      <c r="C52" s="9">
        <v>3.0</v>
      </c>
      <c r="D52" s="9">
        <v>3.0</v>
      </c>
      <c r="E52" s="9">
        <v>0.0</v>
      </c>
      <c r="F52" s="9">
        <v>15.0</v>
      </c>
      <c r="G52" s="9">
        <v>3.0</v>
      </c>
      <c r="H52" s="9">
        <v>15.0</v>
      </c>
      <c r="I52" s="9">
        <v>4.0</v>
      </c>
      <c r="J52" s="9">
        <v>12.0</v>
      </c>
      <c r="K52" s="9">
        <v>4.0</v>
      </c>
      <c r="L52" s="9">
        <v>6.0</v>
      </c>
      <c r="M52" s="9">
        <v>17.0</v>
      </c>
      <c r="N52" s="9">
        <v>4.0</v>
      </c>
      <c r="O52" s="9">
        <v>0.0</v>
      </c>
      <c r="P52" s="9">
        <v>4.0</v>
      </c>
      <c r="Q52" s="9">
        <v>4.0</v>
      </c>
      <c r="R52" s="9">
        <v>8.0</v>
      </c>
      <c r="S52" s="9">
        <v>7.0</v>
      </c>
      <c r="T52" s="9">
        <v>2.0</v>
      </c>
      <c r="U52" s="9">
        <v>5.0</v>
      </c>
      <c r="V52" s="9">
        <v>5.0</v>
      </c>
      <c r="W52" s="9">
        <v>5.0</v>
      </c>
      <c r="X52" s="10">
        <f t="shared" si="3"/>
        <v>40</v>
      </c>
      <c r="Y52" s="11">
        <f>O61</f>
        <v>69</v>
      </c>
      <c r="Z52" s="10">
        <f t="shared" si="4"/>
        <v>1087</v>
      </c>
      <c r="AA52" s="8">
        <f>Z52*Results!$C$13</f>
        <v>4348</v>
      </c>
      <c r="AB52" s="8">
        <f>AA52/Results!$C$6</f>
        <v>85.25490196</v>
      </c>
    </row>
    <row r="53" ht="12.75" customHeight="1">
      <c r="A53" s="3">
        <v>14.0</v>
      </c>
      <c r="B53" s="2" t="s">
        <v>17</v>
      </c>
      <c r="C53" s="9">
        <v>15.0</v>
      </c>
      <c r="D53" s="9">
        <v>5.0</v>
      </c>
      <c r="E53" s="9">
        <v>3.0</v>
      </c>
      <c r="F53" s="9">
        <v>55.0</v>
      </c>
      <c r="G53" s="9">
        <v>6.0</v>
      </c>
      <c r="H53" s="9">
        <v>45.0</v>
      </c>
      <c r="I53" s="9">
        <v>9.0</v>
      </c>
      <c r="J53" s="9">
        <v>41.0</v>
      </c>
      <c r="K53" s="9">
        <v>9.0</v>
      </c>
      <c r="L53" s="9">
        <v>14.0</v>
      </c>
      <c r="M53" s="9">
        <v>7.0</v>
      </c>
      <c r="N53" s="9">
        <v>49.0</v>
      </c>
      <c r="O53" s="9">
        <v>11.0</v>
      </c>
      <c r="P53" s="9">
        <v>0.0</v>
      </c>
      <c r="Q53" s="9">
        <v>9.0</v>
      </c>
      <c r="R53" s="9">
        <v>25.0</v>
      </c>
      <c r="S53" s="9">
        <v>32.0</v>
      </c>
      <c r="T53" s="9">
        <v>4.0</v>
      </c>
      <c r="U53" s="9">
        <v>7.0</v>
      </c>
      <c r="V53" s="9">
        <v>7.0</v>
      </c>
      <c r="W53" s="9">
        <v>8.0</v>
      </c>
      <c r="X53" s="10">
        <f t="shared" si="3"/>
        <v>92</v>
      </c>
      <c r="Y53" s="11">
        <f>P61</f>
        <v>243</v>
      </c>
      <c r="Z53" s="10">
        <f t="shared" si="4"/>
        <v>936</v>
      </c>
      <c r="AA53" s="8">
        <f>Z53*Results!$C$13</f>
        <v>3744</v>
      </c>
      <c r="AB53" s="8">
        <f>AA53/Results!$C$6</f>
        <v>73.41176471</v>
      </c>
    </row>
    <row r="54" ht="12.75" customHeight="1">
      <c r="A54" s="3">
        <v>15.0</v>
      </c>
      <c r="B54" s="2" t="s">
        <v>18</v>
      </c>
      <c r="C54" s="9">
        <v>0.0</v>
      </c>
      <c r="D54" s="9">
        <v>3.0</v>
      </c>
      <c r="E54" s="9">
        <v>2.0</v>
      </c>
      <c r="F54" s="9">
        <v>10.0</v>
      </c>
      <c r="G54" s="9">
        <v>3.0</v>
      </c>
      <c r="H54" s="9">
        <v>8.0</v>
      </c>
      <c r="I54" s="9">
        <v>6.0</v>
      </c>
      <c r="J54" s="9">
        <v>4.0</v>
      </c>
      <c r="K54" s="9">
        <v>3.0</v>
      </c>
      <c r="L54" s="9">
        <v>4.0</v>
      </c>
      <c r="M54" s="9">
        <v>10.0</v>
      </c>
      <c r="N54" s="9">
        <v>6.0</v>
      </c>
      <c r="O54" s="9">
        <v>2.0</v>
      </c>
      <c r="P54" s="9">
        <v>9.0</v>
      </c>
      <c r="Q54" s="9">
        <v>0.0</v>
      </c>
      <c r="R54" s="9">
        <v>9.0</v>
      </c>
      <c r="S54" s="9">
        <v>7.0</v>
      </c>
      <c r="T54" s="9">
        <v>3.0</v>
      </c>
      <c r="U54" s="9">
        <v>2.0</v>
      </c>
      <c r="V54" s="9">
        <v>3.0</v>
      </c>
      <c r="W54" s="9">
        <v>4.0</v>
      </c>
      <c r="X54" s="10">
        <f t="shared" si="3"/>
        <v>28</v>
      </c>
      <c r="Y54" s="11">
        <f>Q61</f>
        <v>70</v>
      </c>
      <c r="Z54" s="10">
        <f t="shared" si="4"/>
        <v>894</v>
      </c>
      <c r="AA54" s="8">
        <f>Z54*Results!$C$13</f>
        <v>3576</v>
      </c>
      <c r="AB54" s="8">
        <f>AA54/Results!$C$6</f>
        <v>70.11764706</v>
      </c>
    </row>
    <row r="55" ht="12.75" customHeight="1">
      <c r="A55" s="3">
        <v>16.0</v>
      </c>
      <c r="B55" s="2" t="s">
        <v>19</v>
      </c>
      <c r="C55" s="9">
        <v>10.0</v>
      </c>
      <c r="D55" s="9">
        <v>2.0</v>
      </c>
      <c r="E55" s="9">
        <v>3.0</v>
      </c>
      <c r="F55" s="9">
        <v>41.0</v>
      </c>
      <c r="G55" s="9">
        <v>6.0</v>
      </c>
      <c r="H55" s="9">
        <v>61.0</v>
      </c>
      <c r="I55" s="9">
        <v>10.0</v>
      </c>
      <c r="J55" s="9">
        <v>37.0</v>
      </c>
      <c r="K55" s="9">
        <v>8.0</v>
      </c>
      <c r="L55" s="9">
        <v>13.0</v>
      </c>
      <c r="M55" s="9">
        <v>57.0</v>
      </c>
      <c r="N55" s="9">
        <v>47.0</v>
      </c>
      <c r="O55" s="9">
        <v>11.0</v>
      </c>
      <c r="P55" s="9">
        <v>48.0</v>
      </c>
      <c r="Q55" s="9">
        <v>6.0</v>
      </c>
      <c r="R55" s="9">
        <v>0.0</v>
      </c>
      <c r="S55" s="9">
        <v>24.0</v>
      </c>
      <c r="T55" s="9">
        <v>5.0</v>
      </c>
      <c r="U55" s="9">
        <v>10.0</v>
      </c>
      <c r="V55" s="9">
        <v>13.0</v>
      </c>
      <c r="W55" s="9">
        <v>14.0</v>
      </c>
      <c r="X55" s="10">
        <f t="shared" si="3"/>
        <v>66</v>
      </c>
      <c r="Y55" s="11">
        <f>R61</f>
        <v>351</v>
      </c>
      <c r="Z55" s="10">
        <f t="shared" si="4"/>
        <v>609</v>
      </c>
      <c r="AA55" s="8">
        <f>Z55*Results!$C$13</f>
        <v>2436</v>
      </c>
      <c r="AB55" s="8">
        <f>AA55/Results!$C$6</f>
        <v>47.76470588</v>
      </c>
    </row>
    <row r="56" ht="12.75" customHeight="1">
      <c r="A56" s="3">
        <v>17.0</v>
      </c>
      <c r="B56" s="2" t="s">
        <v>20</v>
      </c>
      <c r="C56" s="9">
        <v>13.0</v>
      </c>
      <c r="D56" s="9">
        <v>5.0</v>
      </c>
      <c r="E56" s="9">
        <v>2.0</v>
      </c>
      <c r="F56" s="9">
        <v>23.0</v>
      </c>
      <c r="G56" s="9">
        <v>5.0</v>
      </c>
      <c r="H56" s="9">
        <v>30.0</v>
      </c>
      <c r="I56" s="9">
        <v>9.0</v>
      </c>
      <c r="J56" s="9">
        <v>28.0</v>
      </c>
      <c r="K56" s="9">
        <v>6.0</v>
      </c>
      <c r="L56" s="9">
        <v>15.0</v>
      </c>
      <c r="M56" s="9">
        <v>38.0</v>
      </c>
      <c r="N56" s="9">
        <v>48.0</v>
      </c>
      <c r="O56" s="9">
        <v>6.0</v>
      </c>
      <c r="P56" s="9">
        <v>30.0</v>
      </c>
      <c r="Q56" s="9">
        <v>5.0</v>
      </c>
      <c r="R56" s="9">
        <v>37.0</v>
      </c>
      <c r="S56" s="9">
        <v>0.0</v>
      </c>
      <c r="T56" s="9">
        <v>3.0</v>
      </c>
      <c r="U56" s="9">
        <v>6.0</v>
      </c>
      <c r="V56" s="9">
        <v>4.0</v>
      </c>
      <c r="W56" s="9">
        <v>8.0</v>
      </c>
      <c r="X56" s="10">
        <f t="shared" si="3"/>
        <v>21</v>
      </c>
      <c r="Y56" s="11">
        <f>S61</f>
        <v>245</v>
      </c>
      <c r="Z56" s="10">
        <f t="shared" si="4"/>
        <v>385</v>
      </c>
      <c r="AA56" s="8">
        <f>Z56*Results!$C$13</f>
        <v>1540</v>
      </c>
      <c r="AB56" s="8">
        <f>AA56/Results!$C$6</f>
        <v>30.19607843</v>
      </c>
    </row>
    <row r="57" ht="12.75" customHeight="1">
      <c r="A57" s="3">
        <v>18.0</v>
      </c>
      <c r="B57" s="2" t="s">
        <v>21</v>
      </c>
      <c r="C57" s="9">
        <v>2.0</v>
      </c>
      <c r="D57" s="9">
        <v>2.0</v>
      </c>
      <c r="E57" s="9">
        <v>1.0</v>
      </c>
      <c r="F57" s="9">
        <v>6.0</v>
      </c>
      <c r="G57" s="9">
        <v>2.0</v>
      </c>
      <c r="H57" s="9">
        <v>6.0</v>
      </c>
      <c r="I57" s="9">
        <v>2.0</v>
      </c>
      <c r="J57" s="9">
        <v>6.0</v>
      </c>
      <c r="K57" s="9">
        <v>1.0</v>
      </c>
      <c r="L57" s="9">
        <v>3.0</v>
      </c>
      <c r="M57" s="9">
        <v>8.0</v>
      </c>
      <c r="N57" s="9">
        <v>6.0</v>
      </c>
      <c r="O57" s="9">
        <v>3.0</v>
      </c>
      <c r="P57" s="9">
        <v>8.0</v>
      </c>
      <c r="Q57" s="9">
        <v>3.0</v>
      </c>
      <c r="R57" s="9">
        <v>4.0</v>
      </c>
      <c r="S57" s="9">
        <v>6.0</v>
      </c>
      <c r="T57" s="9">
        <v>0.0</v>
      </c>
      <c r="U57" s="9">
        <v>1.0</v>
      </c>
      <c r="V57" s="9">
        <v>2.0</v>
      </c>
      <c r="W57" s="9">
        <v>2.0</v>
      </c>
      <c r="X57" s="10">
        <f t="shared" si="3"/>
        <v>5</v>
      </c>
      <c r="Y57" s="11">
        <f>T61</f>
        <v>65</v>
      </c>
      <c r="Z57" s="10">
        <f t="shared" si="4"/>
        <v>325</v>
      </c>
      <c r="AA57" s="8">
        <f>Z57*Results!$C$13</f>
        <v>1300</v>
      </c>
      <c r="AB57" s="8">
        <f>AA57/Results!$C$6</f>
        <v>25.49019608</v>
      </c>
    </row>
    <row r="58" ht="12.75" customHeight="1">
      <c r="A58" s="3">
        <v>19.0</v>
      </c>
      <c r="B58" s="2" t="s">
        <v>22</v>
      </c>
      <c r="C58" s="9">
        <v>5.0</v>
      </c>
      <c r="D58" s="9">
        <v>2.0</v>
      </c>
      <c r="E58" s="9">
        <v>1.0</v>
      </c>
      <c r="F58" s="9">
        <v>7.0</v>
      </c>
      <c r="G58" s="9">
        <v>2.0</v>
      </c>
      <c r="H58" s="9">
        <v>10.0</v>
      </c>
      <c r="I58" s="9">
        <v>4.0</v>
      </c>
      <c r="J58" s="9">
        <v>7.0</v>
      </c>
      <c r="K58" s="9">
        <v>2.0</v>
      </c>
      <c r="L58" s="9">
        <v>2.0</v>
      </c>
      <c r="M58" s="9">
        <v>9.0</v>
      </c>
      <c r="N58" s="9">
        <v>8.0</v>
      </c>
      <c r="O58" s="9">
        <v>3.0</v>
      </c>
      <c r="P58" s="9">
        <v>6.0</v>
      </c>
      <c r="Q58" s="9">
        <v>2.0</v>
      </c>
      <c r="R58" s="9">
        <v>5.0</v>
      </c>
      <c r="S58" s="9">
        <v>9.0</v>
      </c>
      <c r="T58" s="9">
        <v>2.0</v>
      </c>
      <c r="U58" s="9">
        <v>0.0</v>
      </c>
      <c r="V58" s="9">
        <v>1.0</v>
      </c>
      <c r="W58" s="9">
        <v>3.0</v>
      </c>
      <c r="X58" s="10">
        <f t="shared" si="3"/>
        <v>4</v>
      </c>
      <c r="Y58" s="11">
        <f>U61</f>
        <v>86</v>
      </c>
      <c r="Z58" s="10">
        <f t="shared" si="4"/>
        <v>243</v>
      </c>
      <c r="AA58" s="8">
        <f>Z58*Results!$C$13</f>
        <v>972</v>
      </c>
      <c r="AB58" s="8">
        <f>AA58/Results!$C$6</f>
        <v>19.05882353</v>
      </c>
    </row>
    <row r="59" ht="12.75" customHeight="1">
      <c r="A59" s="3">
        <v>20.0</v>
      </c>
      <c r="B59" s="2" t="s">
        <v>23</v>
      </c>
      <c r="C59" s="9">
        <v>6.0</v>
      </c>
      <c r="D59" s="9">
        <v>2.0</v>
      </c>
      <c r="E59" s="9">
        <v>2.0</v>
      </c>
      <c r="F59" s="9">
        <v>18.0</v>
      </c>
      <c r="G59" s="9">
        <v>5.0</v>
      </c>
      <c r="H59" s="9">
        <v>8.0</v>
      </c>
      <c r="I59" s="9">
        <v>5.0</v>
      </c>
      <c r="J59" s="9">
        <v>9.0</v>
      </c>
      <c r="K59" s="9">
        <v>6.0</v>
      </c>
      <c r="L59" s="9">
        <v>6.0</v>
      </c>
      <c r="M59" s="9">
        <v>9.0</v>
      </c>
      <c r="N59" s="9">
        <v>10.0</v>
      </c>
      <c r="O59" s="9">
        <v>6.0</v>
      </c>
      <c r="P59" s="9">
        <v>10.0</v>
      </c>
      <c r="Q59" s="9">
        <v>5.0</v>
      </c>
      <c r="R59" s="9">
        <v>8.0</v>
      </c>
      <c r="S59" s="9">
        <v>8.0</v>
      </c>
      <c r="T59" s="9">
        <v>3.0</v>
      </c>
      <c r="U59" s="9">
        <v>2.0</v>
      </c>
      <c r="V59" s="9">
        <v>0.0</v>
      </c>
      <c r="W59" s="9">
        <v>5.0</v>
      </c>
      <c r="X59" s="10">
        <f t="shared" si="3"/>
        <v>5</v>
      </c>
      <c r="Y59" s="11">
        <f>V61</f>
        <v>123</v>
      </c>
      <c r="Z59" s="10">
        <f t="shared" si="4"/>
        <v>125</v>
      </c>
      <c r="AA59" s="8">
        <f>Z59*Results!$C$13</f>
        <v>500</v>
      </c>
      <c r="AB59" s="8">
        <f>AA59/Results!$C$6</f>
        <v>9.803921569</v>
      </c>
    </row>
    <row r="60" ht="12.75" customHeight="1">
      <c r="A60" s="3">
        <v>21.0</v>
      </c>
      <c r="B60" s="2" t="s">
        <v>24</v>
      </c>
      <c r="C60" s="9">
        <v>4.0</v>
      </c>
      <c r="D60" s="9">
        <v>2.0</v>
      </c>
      <c r="E60" s="9">
        <v>3.0</v>
      </c>
      <c r="F60" s="9">
        <v>7.0</v>
      </c>
      <c r="G60" s="9">
        <v>4.0</v>
      </c>
      <c r="H60" s="9">
        <v>9.0</v>
      </c>
      <c r="I60" s="9">
        <v>6.0</v>
      </c>
      <c r="J60" s="9">
        <v>9.0</v>
      </c>
      <c r="K60" s="9">
        <v>4.0</v>
      </c>
      <c r="L60" s="9">
        <v>9.0</v>
      </c>
      <c r="M60" s="9">
        <v>17.0</v>
      </c>
      <c r="N60" s="9">
        <v>12.0</v>
      </c>
      <c r="O60" s="9">
        <v>8.0</v>
      </c>
      <c r="P60" s="9">
        <v>16.0</v>
      </c>
      <c r="Q60" s="9">
        <v>3.0</v>
      </c>
      <c r="R60" s="9">
        <v>7.0</v>
      </c>
      <c r="S60" s="9">
        <v>7.0</v>
      </c>
      <c r="T60" s="9">
        <v>2.0</v>
      </c>
      <c r="U60" s="9">
        <v>4.0</v>
      </c>
      <c r="V60" s="9">
        <v>6.0</v>
      </c>
      <c r="W60" s="9">
        <v>0.0</v>
      </c>
      <c r="X60" s="10">
        <f t="shared" si="3"/>
        <v>0</v>
      </c>
      <c r="Y60" s="11">
        <f>W61</f>
        <v>125</v>
      </c>
      <c r="Z60" s="10">
        <f t="shared" si="4"/>
        <v>0</v>
      </c>
      <c r="AA60" s="8">
        <f>Z60*Results!$C$13</f>
        <v>0</v>
      </c>
      <c r="AB60" s="8">
        <f>AA60/Results!$C$6</f>
        <v>0</v>
      </c>
    </row>
    <row r="61" ht="12.75" customHeight="1">
      <c r="A61" s="3"/>
      <c r="B61" s="2"/>
      <c r="C61" s="12">
        <f t="array" ref="C61">SUM(IF($A$40:$A$60&lt;C$37,C40:C60,0))</f>
        <v>0</v>
      </c>
      <c r="D61" s="12">
        <f t="array" ref="D61">SUM(IF($A$40:$A$60&lt;D$37,D40:D60,0))</f>
        <v>2</v>
      </c>
      <c r="E61" s="12">
        <f t="array" ref="E61">SUM(IF($A$40:$A$60&lt;E$37,E40:E60,0))</f>
        <v>3</v>
      </c>
      <c r="F61" s="12">
        <f t="array" ref="F61">SUM(IF($A$40:$A$60&lt;F$37,F40:F60,0))</f>
        <v>21</v>
      </c>
      <c r="G61" s="12">
        <f t="array" ref="G61">SUM(IF($A$40:$A$60&lt;G$37,G40:G60,0))</f>
        <v>12</v>
      </c>
      <c r="H61" s="12">
        <f t="array" ref="H61">SUM(IF($A$40:$A$60&lt;H$37,H40:H60,0))</f>
        <v>56</v>
      </c>
      <c r="I61" s="12">
        <f t="array" ref="I61">SUM(IF($A$40:$A$60&lt;I$37,I40:I60,0))</f>
        <v>43</v>
      </c>
      <c r="J61" s="12">
        <f t="array" ref="J61">SUM(IF($A$40:$A$60&lt;J$37,J40:J60,0))</f>
        <v>98</v>
      </c>
      <c r="K61" s="12">
        <f t="array" ref="K61">SUM(IF($A$40:$A$60&lt;K$37,K40:K60,0))</f>
        <v>30</v>
      </c>
      <c r="L61" s="12">
        <f t="array" ref="L61">SUM(IF($A$40:$A$60&lt;L$37,L40:L60,0))</f>
        <v>66</v>
      </c>
      <c r="M61" s="12">
        <f t="array" ref="M61">SUM(IF($A$40:$A$60&lt;M$37,M40:M60,0))</f>
        <v>188</v>
      </c>
      <c r="N61" s="12">
        <f t="array" ref="N61">SUM(IF($A$40:$A$60&lt;N$37,N40:N60,0))</f>
        <v>247</v>
      </c>
      <c r="O61" s="12">
        <f t="array" ref="O61">SUM(IF($A$40:$A$60&lt;O$37,O40:O60,0))</f>
        <v>69</v>
      </c>
      <c r="P61" s="12">
        <f t="array" ref="P61">SUM(IF($A$40:$A$60&lt;P$37,P40:P60,0))</f>
        <v>243</v>
      </c>
      <c r="Q61" s="12">
        <f t="array" ref="Q61">SUM(IF($A$40:$A$60&lt;Q$37,Q40:Q60,0))</f>
        <v>70</v>
      </c>
      <c r="R61" s="12">
        <f t="array" ref="R61">SUM(IF($A$40:$A$60&lt;R$37,R40:R60,0))</f>
        <v>351</v>
      </c>
      <c r="S61" s="12">
        <f t="array" ref="S61">SUM(IF($A$40:$A$60&lt;S$37,S40:S60,0))</f>
        <v>245</v>
      </c>
      <c r="T61" s="12">
        <f t="array" ref="T61">SUM(IF($A$40:$A$60&lt;T$37,T40:T60,0))</f>
        <v>65</v>
      </c>
      <c r="U61" s="12">
        <f t="array" ref="U61">SUM(IF($A$40:$A$60&lt;U$37,U40:U60,0))</f>
        <v>86</v>
      </c>
      <c r="V61" s="12">
        <f t="array" ref="V61">SUM(IF($A$40:$A$60&lt;V$37,V40:V60,0))</f>
        <v>123</v>
      </c>
      <c r="W61" s="12">
        <f t="array" ref="W61">SUM(IF($A$40:$A$60&lt;W$37,W40:W60,0))</f>
        <v>125</v>
      </c>
    </row>
    <row r="62" ht="12.75" customHeight="1"/>
    <row r="63" ht="12.75" customHeight="1">
      <c r="A63" s="13" t="s">
        <v>29</v>
      </c>
    </row>
    <row r="64" ht="12.75" customHeight="1">
      <c r="A64" s="13" t="s">
        <v>30</v>
      </c>
    </row>
    <row r="65" ht="12.75" customHeight="1">
      <c r="A65" s="13" t="s">
        <v>31</v>
      </c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14"/>
    <col customWidth="1" min="3" max="3" width="10.0"/>
    <col customWidth="1" min="4" max="4" width="8.71"/>
    <col customWidth="1" min="5" max="5" width="8.43"/>
    <col customWidth="1" min="6" max="6" width="16.57"/>
    <col customWidth="1" min="7" max="7" width="11.71"/>
    <col customWidth="1" min="8" max="8" width="13.29"/>
    <col customWidth="1" min="9" max="9" width="10.57"/>
    <col customWidth="1" min="10" max="10" width="9.71"/>
    <col customWidth="1" min="11" max="11" width="10.29"/>
    <col customWidth="1" min="12" max="12" width="9.71"/>
    <col customWidth="1" min="13" max="13" width="11.57"/>
    <col customWidth="1" min="14" max="14" width="10.71"/>
    <col customWidth="1" min="15" max="15" width="11.71"/>
    <col customWidth="1" min="16" max="16" width="6.0"/>
    <col customWidth="1" min="17" max="17" width="12.14"/>
    <col customWidth="1" min="18" max="18" width="10.71"/>
    <col customWidth="1" min="19" max="20" width="9.71"/>
    <col customWidth="1" min="21" max="21" width="14.86"/>
    <col customWidth="1" min="22" max="22" width="12.14"/>
    <col customWidth="1" min="23" max="23" width="14.86"/>
    <col customWidth="1" min="24" max="24" width="30.29"/>
    <col customWidth="1" min="25" max="25" width="17.14"/>
    <col customWidth="1" min="26" max="26" width="24.14"/>
    <col customWidth="1" min="27" max="27" width="16.14"/>
    <col customWidth="1" min="28" max="28" width="13.71"/>
    <col customWidth="1" min="29" max="29" width="8.71"/>
    <col customWidth="1" min="30" max="30" width="17.43"/>
    <col customWidth="1" min="31" max="31" width="19.71"/>
    <col customWidth="1" min="32" max="32" width="15.43"/>
    <col customWidth="1" min="33" max="34" width="8.71"/>
  </cols>
  <sheetData>
    <row r="1" ht="12.75" customHeight="1"/>
    <row r="2" ht="12.75" customHeight="1"/>
    <row r="3" ht="12.75" customHeight="1">
      <c r="A3" s="1" t="s">
        <v>0</v>
      </c>
      <c r="B3" s="1" t="s">
        <v>1</v>
      </c>
      <c r="W3" s="1"/>
    </row>
    <row r="4" ht="12.75" customHeight="1"/>
    <row r="5" ht="12.75" customHeight="1">
      <c r="B5" s="2" t="s">
        <v>2</v>
      </c>
      <c r="C5" s="3">
        <v>1.0</v>
      </c>
      <c r="D5" s="3">
        <v>2.0</v>
      </c>
      <c r="E5" s="3">
        <v>3.0</v>
      </c>
      <c r="F5" s="3">
        <v>4.0</v>
      </c>
      <c r="G5" s="3">
        <v>5.0</v>
      </c>
      <c r="H5" s="3">
        <v>6.0</v>
      </c>
      <c r="I5" s="3">
        <v>7.0</v>
      </c>
      <c r="J5" s="3">
        <v>8.0</v>
      </c>
      <c r="K5" s="3">
        <v>9.0</v>
      </c>
      <c r="L5" s="3">
        <v>10.0</v>
      </c>
      <c r="M5" s="3">
        <v>11.0</v>
      </c>
      <c r="N5" s="3">
        <v>12.0</v>
      </c>
      <c r="O5" s="3">
        <v>13.0</v>
      </c>
      <c r="P5" s="3">
        <v>14.0</v>
      </c>
      <c r="Q5" s="3">
        <v>15.0</v>
      </c>
      <c r="R5" s="3">
        <v>16.0</v>
      </c>
      <c r="S5" s="3">
        <v>17.0</v>
      </c>
      <c r="T5" s="3">
        <v>18.0</v>
      </c>
      <c r="U5" s="3">
        <v>19.0</v>
      </c>
      <c r="V5" s="3">
        <v>20.0</v>
      </c>
      <c r="W5" s="3">
        <v>21.0</v>
      </c>
    </row>
    <row r="6" ht="12.75" customHeight="1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21</v>
      </c>
      <c r="U6" s="2" t="s">
        <v>22</v>
      </c>
      <c r="V6" s="2" t="s">
        <v>23</v>
      </c>
      <c r="W6" s="2" t="s">
        <v>24</v>
      </c>
    </row>
    <row r="7" ht="12.75" customHeight="1">
      <c r="B7" s="4" t="s">
        <v>25</v>
      </c>
      <c r="C7" s="5">
        <v>0.0</v>
      </c>
      <c r="D7" s="6">
        <v>0.75</v>
      </c>
      <c r="E7" s="7">
        <v>1.2</v>
      </c>
      <c r="F7" s="7">
        <v>1.7</v>
      </c>
      <c r="G7" s="7">
        <v>2.0</v>
      </c>
      <c r="H7" s="7">
        <v>3.0</v>
      </c>
      <c r="I7" s="7">
        <v>3.3</v>
      </c>
      <c r="J7" s="7">
        <v>3.7</v>
      </c>
      <c r="K7" s="7">
        <v>4.4</v>
      </c>
      <c r="L7" s="7">
        <v>4.9</v>
      </c>
      <c r="M7" s="7">
        <v>5.4</v>
      </c>
      <c r="N7" s="7">
        <v>6.1</v>
      </c>
      <c r="O7" s="7">
        <v>6.6</v>
      </c>
      <c r="P7" s="7">
        <v>7.2</v>
      </c>
      <c r="Q7" s="7">
        <v>7.5</v>
      </c>
      <c r="R7" s="7">
        <v>8.2</v>
      </c>
      <c r="S7" s="7">
        <v>8.9</v>
      </c>
      <c r="T7" s="7">
        <v>9.5</v>
      </c>
      <c r="U7" s="7">
        <v>10.4</v>
      </c>
      <c r="V7" s="7">
        <v>10.9</v>
      </c>
      <c r="W7" s="7">
        <v>11.4</v>
      </c>
      <c r="X7" s="8" t="s">
        <v>34</v>
      </c>
      <c r="Y7" s="8" t="s">
        <v>35</v>
      </c>
      <c r="Z7" s="8" t="s">
        <v>36</v>
      </c>
      <c r="AA7" s="8" t="s">
        <v>37</v>
      </c>
      <c r="AB7" s="8" t="s">
        <v>38</v>
      </c>
      <c r="AD7" s="8" t="s">
        <v>39</v>
      </c>
      <c r="AE7" s="8" t="s">
        <v>40</v>
      </c>
      <c r="AF7" s="8" t="s">
        <v>41</v>
      </c>
      <c r="AG7" s="8" t="s">
        <v>42</v>
      </c>
      <c r="AH7" s="8" t="s">
        <v>38</v>
      </c>
    </row>
    <row r="8" ht="12.75" customHeight="1">
      <c r="A8" s="3">
        <v>1.0</v>
      </c>
      <c r="B8" s="2" t="s">
        <v>4</v>
      </c>
      <c r="C8" s="14">
        <f>IFERROR(NORMINV(RAND(),'Passangers Analysis'!C8,'Passangers Analysis'!C8*0.2),0)</f>
        <v>0</v>
      </c>
      <c r="D8" s="14">
        <f>IFERROR(NORMINV(RAND(),'Passangers Analysis'!D8,'Passangers Analysis'!D8*0.2),0)</f>
        <v>6.592268926</v>
      </c>
      <c r="E8" s="14">
        <f>IFERROR(NORMINV(RAND(),'Passangers Analysis'!E8,'Passangers Analysis'!E8*0.2),0)</f>
        <v>5.182432949</v>
      </c>
      <c r="F8" s="14">
        <f>IFERROR(NORMINV(RAND(),'Passangers Analysis'!F8,'Passangers Analysis'!F8*0.2),0)</f>
        <v>48.61048015</v>
      </c>
      <c r="G8" s="14">
        <f>IFERROR(NORMINV(RAND(),'Passangers Analysis'!G8,'Passangers Analysis'!G8*0.2),0)</f>
        <v>19.40928506</v>
      </c>
      <c r="H8" s="14">
        <f>IFERROR(NORMINV(RAND(),'Passangers Analysis'!H8,'Passangers Analysis'!H8*0.2),0)</f>
        <v>26.41431846</v>
      </c>
      <c r="I8" s="14">
        <f>IFERROR(NORMINV(RAND(),'Passangers Analysis'!I8,'Passangers Analysis'!I8*0.2),0)</f>
        <v>8.097923986</v>
      </c>
      <c r="J8" s="14">
        <f>IFERROR(NORMINV(RAND(),'Passangers Analysis'!J8,'Passangers Analysis'!J8*0.2),0)</f>
        <v>71.30601233</v>
      </c>
      <c r="K8" s="14">
        <f>IFERROR(NORMINV(RAND(),'Passangers Analysis'!K8,'Passangers Analysis'!K8*0.2),0)</f>
        <v>18.03241868</v>
      </c>
      <c r="L8" s="14">
        <f>IFERROR(NORMINV(RAND(),'Passangers Analysis'!L8,'Passangers Analysis'!L8*0.2),0)</f>
        <v>32.74521149</v>
      </c>
      <c r="M8" s="14">
        <f>IFERROR(NORMINV(RAND(),'Passangers Analysis'!M8,'Passangers Analysis'!M8*0.2),0)</f>
        <v>60.61854651</v>
      </c>
      <c r="N8" s="14">
        <f>IFERROR(NORMINV(RAND(),'Passangers Analysis'!N8,'Passangers Analysis'!N8*0.2),0)</f>
        <v>72.42530399</v>
      </c>
      <c r="O8" s="14">
        <f>IFERROR(NORMINV(RAND(),'Passangers Analysis'!O8,'Passangers Analysis'!O8*0.2),0)</f>
        <v>35.98562623</v>
      </c>
      <c r="P8" s="14">
        <f>IFERROR(NORMINV(RAND(),'Passangers Analysis'!P8,'Passangers Analysis'!P8*0.2),0)</f>
        <v>63.29179531</v>
      </c>
      <c r="Q8" s="14">
        <f>IFERROR(NORMINV(RAND(),'Passangers Analysis'!Q8,'Passangers Analysis'!Q8*0.2),0)</f>
        <v>20.61731468</v>
      </c>
      <c r="R8" s="14">
        <f>IFERROR(NORMINV(RAND(),'Passangers Analysis'!R8,'Passangers Analysis'!R8*0.2),0)</f>
        <v>52.18614773</v>
      </c>
      <c r="S8" s="14">
        <f>IFERROR(NORMINV(RAND(),'Passangers Analysis'!S8,'Passangers Analysis'!S8*0.2),0)</f>
        <v>42.62034968</v>
      </c>
      <c r="T8" s="14">
        <f>IFERROR(NORMINV(RAND(),'Passangers Analysis'!T8,'Passangers Analysis'!T8*0.2),0)</f>
        <v>7.466279191</v>
      </c>
      <c r="U8" s="14">
        <f>IFERROR(NORMINV(RAND(),'Passangers Analysis'!U8,'Passangers Analysis'!U8*0.2),0)</f>
        <v>13.02896046</v>
      </c>
      <c r="V8" s="14">
        <f>IFERROR(NORMINV(RAND(),'Passangers Analysis'!V8,'Passangers Analysis'!V8*0.2),0)</f>
        <v>14.09304025</v>
      </c>
      <c r="W8" s="14">
        <f>IFERROR(NORMINV(RAND(),'Passangers Analysis'!W8,'Passangers Analysis'!W8*0.2),0)</f>
        <v>22.2181654</v>
      </c>
      <c r="X8" s="10">
        <f t="shared" ref="X8:X28" si="1">SUMIFS(C8:W8,$C$5:$W$5,"&gt;"&amp;A8)</f>
        <v>640.9418815</v>
      </c>
      <c r="Y8" s="11">
        <f>C29</f>
        <v>0</v>
      </c>
      <c r="Z8" s="10">
        <f>X8-Y8</f>
        <v>640.9418815</v>
      </c>
      <c r="AA8" s="8">
        <f>Z8/Results!$C$13</f>
        <v>160.2354704</v>
      </c>
      <c r="AB8" s="8">
        <f>AA8/Results!$C$6</f>
        <v>3.141871968</v>
      </c>
      <c r="AD8" s="10">
        <f t="shared" ref="AD8:AD28" si="2">SUMIFS(C8:W8,$C$5:$W$5,"&lt;"&amp;A8)</f>
        <v>0</v>
      </c>
      <c r="AE8" s="11">
        <f>C30</f>
        <v>340.1261972</v>
      </c>
      <c r="AF8" s="10">
        <f t="shared" ref="AF8:AF27" si="3">AF9+AD8-AE8</f>
        <v>0</v>
      </c>
      <c r="AG8" s="8">
        <f>AF8/Results!$C$13</f>
        <v>0</v>
      </c>
      <c r="AH8" s="8">
        <f>AG8/Results!$C$6</f>
        <v>0</v>
      </c>
    </row>
    <row r="9" ht="12.75" customHeight="1">
      <c r="A9" s="3">
        <v>2.0</v>
      </c>
      <c r="B9" s="2" t="s">
        <v>5</v>
      </c>
      <c r="C9" s="14">
        <f>IFERROR(NORMINV(RAND(),'Passangers Analysis'!C9,'Passangers Analysis'!C9*0.2),0)</f>
        <v>15.85654946</v>
      </c>
      <c r="D9" s="14">
        <f>IFERROR(NORMINV(RAND(),'Passangers Analysis'!D9,'Passangers Analysis'!D9*0.2),0)</f>
        <v>0</v>
      </c>
      <c r="E9" s="14">
        <f>IFERROR(NORMINV(RAND(),'Passangers Analysis'!E9,'Passangers Analysis'!E9*0.2),0)</f>
        <v>3.486560474</v>
      </c>
      <c r="F9" s="14">
        <f>IFERROR(NORMINV(RAND(),'Passangers Analysis'!F9,'Passangers Analysis'!F9*0.2),0)</f>
        <v>56.8853657</v>
      </c>
      <c r="G9" s="14">
        <f>IFERROR(NORMINV(RAND(),'Passangers Analysis'!G9,'Passangers Analysis'!G9*0.2),0)</f>
        <v>7.996721489</v>
      </c>
      <c r="H9" s="14">
        <f>IFERROR(NORMINV(RAND(),'Passangers Analysis'!H9,'Passangers Analysis'!H9*0.2),0)</f>
        <v>26.13831658</v>
      </c>
      <c r="I9" s="14">
        <f>IFERROR(NORMINV(RAND(),'Passangers Analysis'!I9,'Passangers Analysis'!I9*0.2),0)</f>
        <v>13.92735676</v>
      </c>
      <c r="J9" s="14">
        <f>IFERROR(NORMINV(RAND(),'Passangers Analysis'!J9,'Passangers Analysis'!J9*0.2),0)</f>
        <v>22.07580094</v>
      </c>
      <c r="K9" s="14">
        <f>IFERROR(NORMINV(RAND(),'Passangers Analysis'!K9,'Passangers Analysis'!K9*0.2),0)</f>
        <v>16.84641744</v>
      </c>
      <c r="L9" s="14">
        <f>IFERROR(NORMINV(RAND(),'Passangers Analysis'!L9,'Passangers Analysis'!L9*0.2),0)</f>
        <v>19.05147028</v>
      </c>
      <c r="M9" s="14">
        <f>IFERROR(NORMINV(RAND(),'Passangers Analysis'!M9,'Passangers Analysis'!M9*0.2),0)</f>
        <v>40.10690035</v>
      </c>
      <c r="N9" s="14">
        <f>IFERROR(NORMINV(RAND(),'Passangers Analysis'!N9,'Passangers Analysis'!N9*0.2),0)</f>
        <v>30.77736833</v>
      </c>
      <c r="O9" s="14">
        <f>IFERROR(NORMINV(RAND(),'Passangers Analysis'!O9,'Passangers Analysis'!O9*0.2),0)</f>
        <v>9.795892934</v>
      </c>
      <c r="P9" s="14">
        <f>IFERROR(NORMINV(RAND(),'Passangers Analysis'!P9,'Passangers Analysis'!P9*0.2),0)</f>
        <v>17.5450482</v>
      </c>
      <c r="Q9" s="14">
        <f>IFERROR(NORMINV(RAND(),'Passangers Analysis'!Q9,'Passangers Analysis'!Q9*0.2),0)</f>
        <v>5.011897208</v>
      </c>
      <c r="R9" s="14">
        <f>IFERROR(NORMINV(RAND(),'Passangers Analysis'!R9,'Passangers Analysis'!R9*0.2),0)</f>
        <v>28.35473015</v>
      </c>
      <c r="S9" s="14">
        <f>IFERROR(NORMINV(RAND(),'Passangers Analysis'!S9,'Passangers Analysis'!S9*0.2),0)</f>
        <v>26.42961094</v>
      </c>
      <c r="T9" s="14">
        <f>IFERROR(NORMINV(RAND(),'Passangers Analysis'!T9,'Passangers Analysis'!T9*0.2),0)</f>
        <v>9.060034107</v>
      </c>
      <c r="U9" s="14">
        <f>IFERROR(NORMINV(RAND(),'Passangers Analysis'!U9,'Passangers Analysis'!U9*0.2),0)</f>
        <v>8.454708798</v>
      </c>
      <c r="V9" s="14">
        <f>IFERROR(NORMINV(RAND(),'Passangers Analysis'!V9,'Passangers Analysis'!V9*0.2),0)</f>
        <v>14.66721721</v>
      </c>
      <c r="W9" s="14">
        <f>IFERROR(NORMINV(RAND(),'Passangers Analysis'!W9,'Passangers Analysis'!W9*0.2),0)</f>
        <v>7.276118577</v>
      </c>
      <c r="X9" s="10">
        <f t="shared" si="1"/>
        <v>363.8875365</v>
      </c>
      <c r="Y9" s="11">
        <f>D29</f>
        <v>6.592268926</v>
      </c>
      <c r="Z9" s="10">
        <f t="shared" ref="Z9:Z28" si="4">Z8+X9-Y9</f>
        <v>998.237149</v>
      </c>
      <c r="AA9" s="8">
        <f>Z9/Results!$C$13</f>
        <v>249.5592873</v>
      </c>
      <c r="AB9" s="8">
        <f>AA9/Results!$C$6</f>
        <v>4.893319358</v>
      </c>
      <c r="AD9" s="10">
        <f t="shared" si="2"/>
        <v>15.85654946</v>
      </c>
      <c r="AE9" s="11">
        <f>D30</f>
        <v>196.0302529</v>
      </c>
      <c r="AF9" s="10">
        <f t="shared" si="3"/>
        <v>340.1261972</v>
      </c>
      <c r="AG9" s="8">
        <f>AF9/Results!$C$13</f>
        <v>85.03154929</v>
      </c>
      <c r="AH9" s="8">
        <f>AG9/Results!$C$6</f>
        <v>1.66728528</v>
      </c>
    </row>
    <row r="10" ht="12.75" customHeight="1">
      <c r="A10" s="3">
        <v>3.0</v>
      </c>
      <c r="B10" s="2" t="s">
        <v>6</v>
      </c>
      <c r="C10" s="14">
        <f>IFERROR(NORMINV(RAND(),'Passangers Analysis'!C10,'Passangers Analysis'!C10*0.2),0)</f>
        <v>8.502986982</v>
      </c>
      <c r="D10" s="14">
        <f>IFERROR(NORMINV(RAND(),'Passangers Analysis'!D10,'Passangers Analysis'!D10*0.2),0)</f>
        <v>2.904907624</v>
      </c>
      <c r="E10" s="14">
        <f>IFERROR(NORMINV(RAND(),'Passangers Analysis'!E10,'Passangers Analysis'!E10*0.2),0)</f>
        <v>0</v>
      </c>
      <c r="F10" s="14">
        <f>IFERROR(NORMINV(RAND(),'Passangers Analysis'!F10,'Passangers Analysis'!F10*0.2),0)</f>
        <v>27.3368888</v>
      </c>
      <c r="G10" s="14">
        <f>IFERROR(NORMINV(RAND(),'Passangers Analysis'!G10,'Passangers Analysis'!G10*0.2),0)</f>
        <v>9.463400686</v>
      </c>
      <c r="H10" s="14">
        <f>IFERROR(NORMINV(RAND(),'Passangers Analysis'!H10,'Passangers Analysis'!H10*0.2),0)</f>
        <v>21.22170783</v>
      </c>
      <c r="I10" s="14">
        <f>IFERROR(NORMINV(RAND(),'Passangers Analysis'!I10,'Passangers Analysis'!I10*0.2),0)</f>
        <v>6.505369454</v>
      </c>
      <c r="J10" s="14">
        <f>IFERROR(NORMINV(RAND(),'Passangers Analysis'!J10,'Passangers Analysis'!J10*0.2),0)</f>
        <v>24.87667398</v>
      </c>
      <c r="K10" s="14">
        <f>IFERROR(NORMINV(RAND(),'Passangers Analysis'!K10,'Passangers Analysis'!K10*0.2),0)</f>
        <v>6.892081737</v>
      </c>
      <c r="L10" s="14">
        <f>IFERROR(NORMINV(RAND(),'Passangers Analysis'!L10,'Passangers Analysis'!L10*0.2),0)</f>
        <v>17.44354354</v>
      </c>
      <c r="M10" s="14">
        <f>IFERROR(NORMINV(RAND(),'Passangers Analysis'!M10,'Passangers Analysis'!M10*0.2),0)</f>
        <v>40.53782382</v>
      </c>
      <c r="N10" s="14">
        <f>IFERROR(NORMINV(RAND(),'Passangers Analysis'!N10,'Passangers Analysis'!N10*0.2),0)</f>
        <v>28.82677477</v>
      </c>
      <c r="O10" s="14">
        <f>IFERROR(NORMINV(RAND(),'Passangers Analysis'!O10,'Passangers Analysis'!O10*0.2),0)</f>
        <v>0</v>
      </c>
      <c r="P10" s="14">
        <f>IFERROR(NORMINV(RAND(),'Passangers Analysis'!P10,'Passangers Analysis'!P10*0.2),0)</f>
        <v>15.49434627</v>
      </c>
      <c r="Q10" s="14">
        <f>IFERROR(NORMINV(RAND(),'Passangers Analysis'!Q10,'Passangers Analysis'!Q10*0.2),0)</f>
        <v>5.340062061</v>
      </c>
      <c r="R10" s="14">
        <f>IFERROR(NORMINV(RAND(),'Passangers Analysis'!R10,'Passangers Analysis'!R10*0.2),0)</f>
        <v>21.66581411</v>
      </c>
      <c r="S10" s="14">
        <f>IFERROR(NORMINV(RAND(),'Passangers Analysis'!S10,'Passangers Analysis'!S10*0.2),0)</f>
        <v>11.48522273</v>
      </c>
      <c r="T10" s="14">
        <f>IFERROR(NORMINV(RAND(),'Passangers Analysis'!T10,'Passangers Analysis'!T10*0.2),0)</f>
        <v>6.426675142</v>
      </c>
      <c r="U10" s="14">
        <f>IFERROR(NORMINV(RAND(),'Passangers Analysis'!U10,'Passangers Analysis'!U10*0.2),0)</f>
        <v>4.494824665</v>
      </c>
      <c r="V10" s="14">
        <f>IFERROR(NORMINV(RAND(),'Passangers Analysis'!V10,'Passangers Analysis'!V10*0.2),0)</f>
        <v>2.502209428</v>
      </c>
      <c r="W10" s="14">
        <f>IFERROR(NORMINV(RAND(),'Passangers Analysis'!W10,'Passangers Analysis'!W10*0.2),0)</f>
        <v>6.828548295</v>
      </c>
      <c r="X10" s="10">
        <f t="shared" si="1"/>
        <v>257.3419673</v>
      </c>
      <c r="Y10" s="11">
        <f>E29</f>
        <v>8.668993423</v>
      </c>
      <c r="Z10" s="10">
        <f t="shared" si="4"/>
        <v>1246.910123</v>
      </c>
      <c r="AA10" s="8">
        <f>Z10/Results!$C$13</f>
        <v>311.7275307</v>
      </c>
      <c r="AB10" s="8">
        <f>AA10/Results!$C$6</f>
        <v>6.112304524</v>
      </c>
      <c r="AD10" s="10">
        <f t="shared" si="2"/>
        <v>11.40789461</v>
      </c>
      <c r="AE10" s="11">
        <f>E30</f>
        <v>137.6353391</v>
      </c>
      <c r="AF10" s="10">
        <f t="shared" si="3"/>
        <v>520.2999006</v>
      </c>
      <c r="AG10" s="8">
        <f>AF10/Results!$C$13</f>
        <v>130.0749751</v>
      </c>
      <c r="AH10" s="8">
        <f>AG10/Results!$C$6</f>
        <v>2.550489709</v>
      </c>
    </row>
    <row r="11" ht="12.75" customHeight="1">
      <c r="A11" s="3">
        <v>4.0</v>
      </c>
      <c r="B11" s="2" t="s">
        <v>7</v>
      </c>
      <c r="C11" s="14">
        <f>IFERROR(NORMINV(RAND(),'Passangers Analysis'!C11,'Passangers Analysis'!C11*0.2),0)</f>
        <v>21.04554521</v>
      </c>
      <c r="D11" s="14">
        <f>IFERROR(NORMINV(RAND(),'Passangers Analysis'!D11,'Passangers Analysis'!D11*0.2),0)</f>
        <v>12.86590253</v>
      </c>
      <c r="E11" s="14">
        <f>IFERROR(NORMINV(RAND(),'Passangers Analysis'!E11,'Passangers Analysis'!E11*0.2),0)</f>
        <v>8.183171725</v>
      </c>
      <c r="F11" s="14">
        <f>IFERROR(NORMINV(RAND(),'Passangers Analysis'!F11,'Passangers Analysis'!F11*0.2),0)</f>
        <v>0</v>
      </c>
      <c r="G11" s="14">
        <f>IFERROR(NORMINV(RAND(),'Passangers Analysis'!G11,'Passangers Analysis'!G11*0.2),0)</f>
        <v>17.54988391</v>
      </c>
      <c r="H11" s="14">
        <f>IFERROR(NORMINV(RAND(),'Passangers Analysis'!H11,'Passangers Analysis'!H11*0.2),0)</f>
        <v>30.21149396</v>
      </c>
      <c r="I11" s="14">
        <f>IFERROR(NORMINV(RAND(),'Passangers Analysis'!I11,'Passangers Analysis'!I11*0.2),0)</f>
        <v>30.07860406</v>
      </c>
      <c r="J11" s="14">
        <f>IFERROR(NORMINV(RAND(),'Passangers Analysis'!J11,'Passangers Analysis'!J11*0.2),0)</f>
        <v>127.7742801</v>
      </c>
      <c r="K11" s="14">
        <f>IFERROR(NORMINV(RAND(),'Passangers Analysis'!K11,'Passangers Analysis'!K11*0.2),0)</f>
        <v>23.73097161</v>
      </c>
      <c r="L11" s="14">
        <f>IFERROR(NORMINV(RAND(),'Passangers Analysis'!L11,'Passangers Analysis'!L11*0.2),0)</f>
        <v>67.59493502</v>
      </c>
      <c r="M11" s="14">
        <f>IFERROR(NORMINV(RAND(),'Passangers Analysis'!M11,'Passangers Analysis'!M11*0.2),0)</f>
        <v>267.6964014</v>
      </c>
      <c r="N11" s="14">
        <f>IFERROR(NORMINV(RAND(),'Passangers Analysis'!N11,'Passangers Analysis'!N11*0.2),0)</f>
        <v>226.8948416</v>
      </c>
      <c r="O11" s="14">
        <f>IFERROR(NORMINV(RAND(),'Passangers Analysis'!O11,'Passangers Analysis'!O11*0.2),0)</f>
        <v>45.29882489</v>
      </c>
      <c r="P11" s="14">
        <f>IFERROR(NORMINV(RAND(),'Passangers Analysis'!P11,'Passangers Analysis'!P11*0.2),0)</f>
        <v>182.7594601</v>
      </c>
      <c r="Q11" s="14">
        <f>IFERROR(NORMINV(RAND(),'Passangers Analysis'!Q11,'Passangers Analysis'!Q11*0.2),0)</f>
        <v>14.25939669</v>
      </c>
      <c r="R11" s="14">
        <f>IFERROR(NORMINV(RAND(),'Passangers Analysis'!R11,'Passangers Analysis'!R11*0.2),0)</f>
        <v>96.1819691</v>
      </c>
      <c r="S11" s="14">
        <f>IFERROR(NORMINV(RAND(),'Passangers Analysis'!S11,'Passangers Analysis'!S11*0.2),0)</f>
        <v>73.33675847</v>
      </c>
      <c r="T11" s="14">
        <f>IFERROR(NORMINV(RAND(),'Passangers Analysis'!T11,'Passangers Analysis'!T11*0.2),0)</f>
        <v>12.05176263</v>
      </c>
      <c r="U11" s="14">
        <f>IFERROR(NORMINV(RAND(),'Passangers Analysis'!U11,'Passangers Analysis'!U11*0.2),0)</f>
        <v>12.7654882</v>
      </c>
      <c r="V11" s="14">
        <f>IFERROR(NORMINV(RAND(),'Passangers Analysis'!V11,'Passangers Analysis'!V11*0.2),0)</f>
        <v>21.74410317</v>
      </c>
      <c r="W11" s="14">
        <f>IFERROR(NORMINV(RAND(),'Passangers Analysis'!W11,'Passangers Analysis'!W11*0.2),0)</f>
        <v>23.41208783</v>
      </c>
      <c r="X11" s="10">
        <f t="shared" si="1"/>
        <v>1273.341263</v>
      </c>
      <c r="Y11" s="11">
        <f>F29</f>
        <v>132.8327347</v>
      </c>
      <c r="Z11" s="10">
        <f t="shared" si="4"/>
        <v>2387.418651</v>
      </c>
      <c r="AA11" s="8">
        <f>Z11/Results!$C$13</f>
        <v>596.8546627</v>
      </c>
      <c r="AB11" s="8">
        <f>AA11/Results!$C$6</f>
        <v>11.7030326</v>
      </c>
      <c r="AD11" s="10">
        <f t="shared" si="2"/>
        <v>42.09461946</v>
      </c>
      <c r="AE11" s="11">
        <f>F30</f>
        <v>1714.574336</v>
      </c>
      <c r="AF11" s="10">
        <f t="shared" si="3"/>
        <v>646.5273451</v>
      </c>
      <c r="AG11" s="8">
        <f>AF11/Results!$C$13</f>
        <v>161.6318363</v>
      </c>
      <c r="AH11" s="8">
        <f>AG11/Results!$C$6</f>
        <v>3.169251692</v>
      </c>
    </row>
    <row r="12" ht="12.75" customHeight="1">
      <c r="A12" s="3">
        <v>5.0</v>
      </c>
      <c r="B12" s="2" t="s">
        <v>8</v>
      </c>
      <c r="C12" s="14">
        <f>IFERROR(NORMINV(RAND(),'Passangers Analysis'!C12,'Passangers Analysis'!C12*0.2),0)</f>
        <v>6.273725721</v>
      </c>
      <c r="D12" s="14">
        <f>IFERROR(NORMINV(RAND(),'Passangers Analysis'!D12,'Passangers Analysis'!D12*0.2),0)</f>
        <v>5.464631421</v>
      </c>
      <c r="E12" s="14">
        <f>IFERROR(NORMINV(RAND(),'Passangers Analysis'!E12,'Passangers Analysis'!E12*0.2),0)</f>
        <v>3.19781734</v>
      </c>
      <c r="F12" s="14">
        <f>IFERROR(NORMINV(RAND(),'Passangers Analysis'!F12,'Passangers Analysis'!F12*0.2),0)</f>
        <v>30.32979402</v>
      </c>
      <c r="G12" s="14">
        <f>IFERROR(NORMINV(RAND(),'Passangers Analysis'!G12,'Passangers Analysis'!G12*0.2),0)</f>
        <v>0</v>
      </c>
      <c r="H12" s="14">
        <f>IFERROR(NORMINV(RAND(),'Passangers Analysis'!H12,'Passangers Analysis'!H12*0.2),0)</f>
        <v>8.25998046</v>
      </c>
      <c r="I12" s="14">
        <f>IFERROR(NORMINV(RAND(),'Passangers Analysis'!I12,'Passangers Analysis'!I12*0.2),0)</f>
        <v>5.895041642</v>
      </c>
      <c r="J12" s="14">
        <f>IFERROR(NORMINV(RAND(),'Passangers Analysis'!J12,'Passangers Analysis'!J12*0.2),0)</f>
        <v>17.70964742</v>
      </c>
      <c r="K12" s="14">
        <f>IFERROR(NORMINV(RAND(),'Passangers Analysis'!K12,'Passangers Analysis'!K12*0.2),0)</f>
        <v>7.928969177</v>
      </c>
      <c r="L12" s="14">
        <f>IFERROR(NORMINV(RAND(),'Passangers Analysis'!L12,'Passangers Analysis'!L12*0.2),0)</f>
        <v>10.10009283</v>
      </c>
      <c r="M12" s="14">
        <f>IFERROR(NORMINV(RAND(),'Passangers Analysis'!M12,'Passangers Analysis'!M12*0.2),0)</f>
        <v>18.95340803</v>
      </c>
      <c r="N12" s="14">
        <f>IFERROR(NORMINV(RAND(),'Passangers Analysis'!N12,'Passangers Analysis'!N12*0.2),0)</f>
        <v>28.30794017</v>
      </c>
      <c r="O12" s="14">
        <f>IFERROR(NORMINV(RAND(),'Passangers Analysis'!O12,'Passangers Analysis'!O12*0.2),0)</f>
        <v>15.40967973</v>
      </c>
      <c r="P12" s="14">
        <f>IFERROR(NORMINV(RAND(),'Passangers Analysis'!P12,'Passangers Analysis'!P12*0.2),0)</f>
        <v>33.08035792</v>
      </c>
      <c r="Q12" s="14">
        <f>IFERROR(NORMINV(RAND(),'Passangers Analysis'!Q12,'Passangers Analysis'!Q12*0.2),0)</f>
        <v>5.00651767</v>
      </c>
      <c r="R12" s="14">
        <f>IFERROR(NORMINV(RAND(),'Passangers Analysis'!R12,'Passangers Analysis'!R12*0.2),0)</f>
        <v>9.663807856</v>
      </c>
      <c r="S12" s="14">
        <f>IFERROR(NORMINV(RAND(),'Passangers Analysis'!S12,'Passangers Analysis'!S12*0.2),0)</f>
        <v>13.77914019</v>
      </c>
      <c r="T12" s="14">
        <f>IFERROR(NORMINV(RAND(),'Passangers Analysis'!T12,'Passangers Analysis'!T12*0.2),0)</f>
        <v>5.468465865</v>
      </c>
      <c r="U12" s="14">
        <f>IFERROR(NORMINV(RAND(),'Passangers Analysis'!U12,'Passangers Analysis'!U12*0.2),0)</f>
        <v>8.090869888</v>
      </c>
      <c r="V12" s="14">
        <f>IFERROR(NORMINV(RAND(),'Passangers Analysis'!V12,'Passangers Analysis'!V12*0.2),0)</f>
        <v>6.255658477</v>
      </c>
      <c r="W12" s="14">
        <f>IFERROR(NORMINV(RAND(),'Passangers Analysis'!W12,'Passangers Analysis'!W12*0.2),0)</f>
        <v>4.841169</v>
      </c>
      <c r="X12" s="10">
        <f t="shared" si="1"/>
        <v>198.7507463</v>
      </c>
      <c r="Y12" s="11">
        <f>G29</f>
        <v>54.41929114</v>
      </c>
      <c r="Z12" s="10">
        <f t="shared" si="4"/>
        <v>2531.750106</v>
      </c>
      <c r="AA12" s="8">
        <f>Z12/Results!$C$13</f>
        <v>632.9375265</v>
      </c>
      <c r="AB12" s="8">
        <f>AA12/Results!$C$6</f>
        <v>12.41053974</v>
      </c>
      <c r="AD12" s="10">
        <f t="shared" si="2"/>
        <v>45.2659685</v>
      </c>
      <c r="AE12" s="11">
        <f>G30</f>
        <v>423.4227931</v>
      </c>
      <c r="AF12" s="10">
        <f t="shared" si="3"/>
        <v>2319.007062</v>
      </c>
      <c r="AG12" s="8">
        <f>AF12/Results!$C$13</f>
        <v>579.7517655</v>
      </c>
      <c r="AH12" s="8">
        <f>AG12/Results!$C$6</f>
        <v>11.36768168</v>
      </c>
    </row>
    <row r="13" ht="12.75" customHeight="1">
      <c r="A13" s="3">
        <v>6.0</v>
      </c>
      <c r="B13" s="2" t="s">
        <v>9</v>
      </c>
      <c r="C13" s="14">
        <f>IFERROR(NORMINV(RAND(),'Passangers Analysis'!C13,'Passangers Analysis'!C13*0.2),0)</f>
        <v>22.5503915</v>
      </c>
      <c r="D13" s="14">
        <f>IFERROR(NORMINV(RAND(),'Passangers Analysis'!D13,'Passangers Analysis'!D13*0.2),0)</f>
        <v>24.95679926</v>
      </c>
      <c r="E13" s="14">
        <f>IFERROR(NORMINV(RAND(),'Passangers Analysis'!E13,'Passangers Analysis'!E13*0.2),0)</f>
        <v>15.88768385</v>
      </c>
      <c r="F13" s="14">
        <f>IFERROR(NORMINV(RAND(),'Passangers Analysis'!F13,'Passangers Analysis'!F13*0.2),0)</f>
        <v>195.5682071</v>
      </c>
      <c r="G13" s="14">
        <f>IFERROR(NORMINV(RAND(),'Passangers Analysis'!G13,'Passangers Analysis'!G13*0.2),0)</f>
        <v>43.10529337</v>
      </c>
      <c r="H13" s="14">
        <f>IFERROR(NORMINV(RAND(),'Passangers Analysis'!H13,'Passangers Analysis'!H13*0.2),0)</f>
        <v>0</v>
      </c>
      <c r="I13" s="14">
        <f>IFERROR(NORMINV(RAND(),'Passangers Analysis'!I13,'Passangers Analysis'!I13*0.2),0)</f>
        <v>34.60316153</v>
      </c>
      <c r="J13" s="14">
        <f>IFERROR(NORMINV(RAND(),'Passangers Analysis'!J13,'Passangers Analysis'!J13*0.2),0)</f>
        <v>212.3291116</v>
      </c>
      <c r="K13" s="14">
        <f>IFERROR(NORMINV(RAND(),'Passangers Analysis'!K13,'Passangers Analysis'!K13*0.2),0)</f>
        <v>25.91275123</v>
      </c>
      <c r="L13" s="14">
        <f>IFERROR(NORMINV(RAND(),'Passangers Analysis'!L13,'Passangers Analysis'!L13*0.2),0)</f>
        <v>46.86000045</v>
      </c>
      <c r="M13" s="14">
        <f>IFERROR(NORMINV(RAND(),'Passangers Analysis'!M13,'Passangers Analysis'!M13*0.2),0)</f>
        <v>298.2642097</v>
      </c>
      <c r="N13" s="14">
        <f>IFERROR(NORMINV(RAND(),'Passangers Analysis'!N13,'Passangers Analysis'!N13*0.2),0)</f>
        <v>333.0277173</v>
      </c>
      <c r="O13" s="14">
        <f>IFERROR(NORMINV(RAND(),'Passangers Analysis'!O13,'Passangers Analysis'!O13*0.2),0)</f>
        <v>72.3568759</v>
      </c>
      <c r="P13" s="14">
        <f>IFERROR(NORMINV(RAND(),'Passangers Analysis'!P13,'Passangers Analysis'!P13*0.2),0)</f>
        <v>309.8666976</v>
      </c>
      <c r="Q13" s="14">
        <f>IFERROR(NORMINV(RAND(),'Passangers Analysis'!Q13,'Passangers Analysis'!Q13*0.2),0)</f>
        <v>47.50125848</v>
      </c>
      <c r="R13" s="14">
        <f>IFERROR(NORMINV(RAND(),'Passangers Analysis'!R13,'Passangers Analysis'!R13*0.2),0)</f>
        <v>199.9049775</v>
      </c>
      <c r="S13" s="14">
        <f>IFERROR(NORMINV(RAND(),'Passangers Analysis'!S13,'Passangers Analysis'!S13*0.2),0)</f>
        <v>116.0271003</v>
      </c>
      <c r="T13" s="14">
        <f>IFERROR(NORMINV(RAND(),'Passangers Analysis'!T13,'Passangers Analysis'!T13*0.2),0)</f>
        <v>30.34936886</v>
      </c>
      <c r="U13" s="14">
        <f>IFERROR(NORMINV(RAND(),'Passangers Analysis'!U13,'Passangers Analysis'!U13*0.2),0)</f>
        <v>25.4610364</v>
      </c>
      <c r="V13" s="14">
        <f>IFERROR(NORMINV(RAND(),'Passangers Analysis'!V13,'Passangers Analysis'!V13*0.2),0)</f>
        <v>47.05912594</v>
      </c>
      <c r="W13" s="14">
        <f>IFERROR(NORMINV(RAND(),'Passangers Analysis'!W13,'Passangers Analysis'!W13*0.2),0)</f>
        <v>47.70674994</v>
      </c>
      <c r="X13" s="10">
        <f t="shared" si="1"/>
        <v>1847.230143</v>
      </c>
      <c r="Y13" s="11">
        <f>H29</f>
        <v>112.2458173</v>
      </c>
      <c r="Z13" s="10">
        <f t="shared" si="4"/>
        <v>4266.734432</v>
      </c>
      <c r="AA13" s="8">
        <f>Z13/Results!$C$13</f>
        <v>1066.683608</v>
      </c>
      <c r="AB13" s="8">
        <f>AA13/Results!$C$6</f>
        <v>20.91536486</v>
      </c>
      <c r="AD13" s="10">
        <f t="shared" si="2"/>
        <v>302.0683751</v>
      </c>
      <c r="AE13" s="11">
        <f>H30</f>
        <v>827.9651264</v>
      </c>
      <c r="AF13" s="10">
        <f t="shared" si="3"/>
        <v>2697.163886</v>
      </c>
      <c r="AG13" s="8">
        <f>AF13/Results!$C$13</f>
        <v>674.2909716</v>
      </c>
      <c r="AH13" s="8">
        <f>AG13/Results!$C$6</f>
        <v>13.2213916</v>
      </c>
    </row>
    <row r="14" ht="12.75" customHeight="1">
      <c r="A14" s="3">
        <v>7.0</v>
      </c>
      <c r="B14" s="2" t="s">
        <v>10</v>
      </c>
      <c r="C14" s="14">
        <f>IFERROR(NORMINV(RAND(),'Passangers Analysis'!C14,'Passangers Analysis'!C14*0.2),0)</f>
        <v>20.45752315</v>
      </c>
      <c r="D14" s="14">
        <f>IFERROR(NORMINV(RAND(),'Passangers Analysis'!D14,'Passangers Analysis'!D14*0.2),0)</f>
        <v>10.39432452</v>
      </c>
      <c r="E14" s="14">
        <f>IFERROR(NORMINV(RAND(),'Passangers Analysis'!E14,'Passangers Analysis'!E14*0.2),0)</f>
        <v>6.217083301</v>
      </c>
      <c r="F14" s="14">
        <f>IFERROR(NORMINV(RAND(),'Passangers Analysis'!F14,'Passangers Analysis'!F14*0.2),0)</f>
        <v>49.04513482</v>
      </c>
      <c r="G14" s="14">
        <f>IFERROR(NORMINV(RAND(),'Passangers Analysis'!G14,'Passangers Analysis'!G14*0.2),0)</f>
        <v>19.50028457</v>
      </c>
      <c r="H14" s="14">
        <f>IFERROR(NORMINV(RAND(),'Passangers Analysis'!H14,'Passangers Analysis'!H14*0.2),0)</f>
        <v>53.47754946</v>
      </c>
      <c r="I14" s="14">
        <f>IFERROR(NORMINV(RAND(),'Passangers Analysis'!I14,'Passangers Analysis'!I14*0.2),0)</f>
        <v>0</v>
      </c>
      <c r="J14" s="14">
        <f>IFERROR(NORMINV(RAND(),'Passangers Analysis'!J14,'Passangers Analysis'!J14*0.2),0)</f>
        <v>50.07817269</v>
      </c>
      <c r="K14" s="14">
        <f>IFERROR(NORMINV(RAND(),'Passangers Analysis'!K14,'Passangers Analysis'!K14*0.2),0)</f>
        <v>25.03010407</v>
      </c>
      <c r="L14" s="14">
        <f>IFERROR(NORMINV(RAND(),'Passangers Analysis'!L14,'Passangers Analysis'!L14*0.2),0)</f>
        <v>49.8959134</v>
      </c>
      <c r="M14" s="14">
        <f>IFERROR(NORMINV(RAND(),'Passangers Analysis'!M14,'Passangers Analysis'!M14*0.2),0)</f>
        <v>115.824698</v>
      </c>
      <c r="N14" s="14">
        <f>IFERROR(NORMINV(RAND(),'Passangers Analysis'!N14,'Passangers Analysis'!N14*0.2),0)</f>
        <v>83.53639228</v>
      </c>
      <c r="O14" s="14">
        <f>IFERROR(NORMINV(RAND(),'Passangers Analysis'!O14,'Passangers Analysis'!O14*0.2),0)</f>
        <v>34.23504585</v>
      </c>
      <c r="P14" s="14">
        <f>IFERROR(NORMINV(RAND(),'Passangers Analysis'!P14,'Passangers Analysis'!P14*0.2),0)</f>
        <v>124.0515066</v>
      </c>
      <c r="Q14" s="14">
        <f>IFERROR(NORMINV(RAND(),'Passangers Analysis'!Q14,'Passangers Analysis'!Q14*0.2),0)</f>
        <v>12.37993966</v>
      </c>
      <c r="R14" s="14">
        <f>IFERROR(NORMINV(RAND(),'Passangers Analysis'!R14,'Passangers Analysis'!R14*0.2),0)</f>
        <v>70.98225622</v>
      </c>
      <c r="S14" s="14">
        <f>IFERROR(NORMINV(RAND(),'Passangers Analysis'!S14,'Passangers Analysis'!S14*0.2),0)</f>
        <v>39.97891286</v>
      </c>
      <c r="T14" s="14">
        <f>IFERROR(NORMINV(RAND(),'Passangers Analysis'!T14,'Passangers Analysis'!T14*0.2),0)</f>
        <v>9.905506024</v>
      </c>
      <c r="U14" s="14">
        <f>IFERROR(NORMINV(RAND(),'Passangers Analysis'!U14,'Passangers Analysis'!U14*0.2),0)</f>
        <v>7.044285015</v>
      </c>
      <c r="V14" s="14">
        <f>IFERROR(NORMINV(RAND(),'Passangers Analysis'!V14,'Passangers Analysis'!V14*0.2),0)</f>
        <v>27.41126961</v>
      </c>
      <c r="W14" s="14">
        <f>IFERROR(NORMINV(RAND(),'Passangers Analysis'!W14,'Passangers Analysis'!W14*0.2),0)</f>
        <v>22.62638236</v>
      </c>
      <c r="X14" s="10">
        <f t="shared" si="1"/>
        <v>672.9803847</v>
      </c>
      <c r="Y14" s="11">
        <f>I29</f>
        <v>99.10745743</v>
      </c>
      <c r="Z14" s="10">
        <f t="shared" si="4"/>
        <v>4840.607359</v>
      </c>
      <c r="AA14" s="8">
        <f>Z14/Results!$C$13</f>
        <v>1210.15184</v>
      </c>
      <c r="AB14" s="8">
        <f>AA14/Results!$C$6</f>
        <v>23.72846744</v>
      </c>
      <c r="AD14" s="10">
        <f t="shared" si="2"/>
        <v>159.0918998</v>
      </c>
      <c r="AE14" s="11">
        <f>I30</f>
        <v>368.0040638</v>
      </c>
      <c r="AF14" s="10">
        <f t="shared" si="3"/>
        <v>3223.060638</v>
      </c>
      <c r="AG14" s="8">
        <f>AF14/Results!$C$13</f>
        <v>805.7651594</v>
      </c>
      <c r="AH14" s="8">
        <f>AG14/Results!$C$6</f>
        <v>15.79931685</v>
      </c>
    </row>
    <row r="15" ht="12.75" customHeight="1">
      <c r="A15" s="3">
        <v>8.0</v>
      </c>
      <c r="B15" s="2" t="s">
        <v>11</v>
      </c>
      <c r="C15" s="14">
        <f>IFERROR(NORMINV(RAND(),'Passangers Analysis'!C15,'Passangers Analysis'!C15*0.2),0)</f>
        <v>10.1752756</v>
      </c>
      <c r="D15" s="14">
        <f>IFERROR(NORMINV(RAND(),'Passangers Analysis'!D15,'Passangers Analysis'!D15*0.2),0)</f>
        <v>9.33439512</v>
      </c>
      <c r="E15" s="14">
        <f>IFERROR(NORMINV(RAND(),'Passangers Analysis'!E15,'Passangers Analysis'!E15*0.2),0)</f>
        <v>5.583465954</v>
      </c>
      <c r="F15" s="14">
        <f>IFERROR(NORMINV(RAND(),'Passangers Analysis'!F15,'Passangers Analysis'!F15*0.2),0)</f>
        <v>123.4994407</v>
      </c>
      <c r="G15" s="14">
        <f>IFERROR(NORMINV(RAND(),'Passangers Analysis'!G15,'Passangers Analysis'!G15*0.2),0)</f>
        <v>26.06431496</v>
      </c>
      <c r="H15" s="14">
        <f>IFERROR(NORMINV(RAND(),'Passangers Analysis'!H15,'Passangers Analysis'!H15*0.2),0)</f>
        <v>57.74863339</v>
      </c>
      <c r="I15" s="14">
        <f>IFERROR(NORMINV(RAND(),'Passangers Analysis'!I15,'Passangers Analysis'!I15*0.2),0)</f>
        <v>10.5874115</v>
      </c>
      <c r="J15" s="14">
        <f>IFERROR(NORMINV(RAND(),'Passangers Analysis'!J15,'Passangers Analysis'!J15*0.2),0)</f>
        <v>0</v>
      </c>
      <c r="K15" s="14">
        <f>IFERROR(NORMINV(RAND(),'Passangers Analysis'!K15,'Passangers Analysis'!K15*0.2),0)</f>
        <v>35.58005112</v>
      </c>
      <c r="L15" s="14">
        <f>IFERROR(NORMINV(RAND(),'Passangers Analysis'!L15,'Passangers Analysis'!L15*0.2),0)</f>
        <v>34.78536632</v>
      </c>
      <c r="M15" s="14">
        <f>IFERROR(NORMINV(RAND(),'Passangers Analysis'!M15,'Passangers Analysis'!M15*0.2),0)</f>
        <v>86.8994753</v>
      </c>
      <c r="N15" s="14">
        <f>IFERROR(NORMINV(RAND(),'Passangers Analysis'!N15,'Passangers Analysis'!N15*0.2),0)</f>
        <v>149.4384074</v>
      </c>
      <c r="O15" s="14">
        <f>IFERROR(NORMINV(RAND(),'Passangers Analysis'!O15,'Passangers Analysis'!O15*0.2),0)</f>
        <v>16.65033119</v>
      </c>
      <c r="P15" s="14">
        <f>IFERROR(NORMINV(RAND(),'Passangers Analysis'!P15,'Passangers Analysis'!P15*0.2),0)</f>
        <v>80.48825195</v>
      </c>
      <c r="Q15" s="14">
        <f>IFERROR(NORMINV(RAND(),'Passangers Analysis'!Q15,'Passangers Analysis'!Q15*0.2),0)</f>
        <v>16.53163277</v>
      </c>
      <c r="R15" s="14">
        <f>IFERROR(NORMINV(RAND(),'Passangers Analysis'!R15,'Passangers Analysis'!R15*0.2),0)</f>
        <v>92.34799887</v>
      </c>
      <c r="S15" s="14">
        <f>IFERROR(NORMINV(RAND(),'Passangers Analysis'!S15,'Passangers Analysis'!S15*0.2),0)</f>
        <v>53.18319411</v>
      </c>
      <c r="T15" s="14">
        <f>IFERROR(NORMINV(RAND(),'Passangers Analysis'!T15,'Passangers Analysis'!T15*0.2),0)</f>
        <v>10.41903681</v>
      </c>
      <c r="U15" s="14">
        <f>IFERROR(NORMINV(RAND(),'Passangers Analysis'!U15,'Passangers Analysis'!U15*0.2),0)</f>
        <v>9.60626494</v>
      </c>
      <c r="V15" s="14">
        <f>IFERROR(NORMINV(RAND(),'Passangers Analysis'!V15,'Passangers Analysis'!V15*0.2),0)</f>
        <v>16.1792717</v>
      </c>
      <c r="W15" s="14">
        <f>IFERROR(NORMINV(RAND(),'Passangers Analysis'!W15,'Passangers Analysis'!W15*0.2),0)</f>
        <v>19.32040855</v>
      </c>
      <c r="X15" s="10">
        <f t="shared" si="1"/>
        <v>621.429691</v>
      </c>
      <c r="Y15" s="11">
        <f>J29</f>
        <v>526.1496991</v>
      </c>
      <c r="Z15" s="10">
        <f t="shared" si="4"/>
        <v>4935.887351</v>
      </c>
      <c r="AA15" s="8">
        <f>Z15/Results!$C$13</f>
        <v>1233.971838</v>
      </c>
      <c r="AB15" s="8">
        <f>AA15/Results!$C$6</f>
        <v>24.19552623</v>
      </c>
      <c r="AD15" s="10">
        <f t="shared" si="2"/>
        <v>242.9929372</v>
      </c>
      <c r="AE15" s="11">
        <f>J30</f>
        <v>963.8498964</v>
      </c>
      <c r="AF15" s="10">
        <f t="shared" si="3"/>
        <v>3431.972802</v>
      </c>
      <c r="AG15" s="8">
        <f>AF15/Results!$C$13</f>
        <v>857.9932004</v>
      </c>
      <c r="AH15" s="8">
        <f>AG15/Results!$C$6</f>
        <v>16.82339609</v>
      </c>
    </row>
    <row r="16" ht="12.75" customHeight="1">
      <c r="A16" s="3">
        <v>9.0</v>
      </c>
      <c r="B16" s="2" t="s">
        <v>12</v>
      </c>
      <c r="C16" s="14">
        <f>IFERROR(NORMINV(RAND(),'Passangers Analysis'!C16,'Passangers Analysis'!C16*0.2),0)</f>
        <v>3.751703358</v>
      </c>
      <c r="D16" s="14">
        <f>IFERROR(NORMINV(RAND(),'Passangers Analysis'!D16,'Passangers Analysis'!D16*0.2),0)</f>
        <v>3.928593168</v>
      </c>
      <c r="E16" s="14">
        <f>IFERROR(NORMINV(RAND(),'Passangers Analysis'!E16,'Passangers Analysis'!E16*0.2),0)</f>
        <v>3.126447947</v>
      </c>
      <c r="F16" s="14">
        <f>IFERROR(NORMINV(RAND(),'Passangers Analysis'!F16,'Passangers Analysis'!F16*0.2),0)</f>
        <v>23.41392672</v>
      </c>
      <c r="G16" s="14">
        <f>IFERROR(NORMINV(RAND(),'Passangers Analysis'!G16,'Passangers Analysis'!G16*0.2),0)</f>
        <v>10.97222518</v>
      </c>
      <c r="H16" s="14">
        <f>IFERROR(NORMINV(RAND(),'Passangers Analysis'!H16,'Passangers Analysis'!H16*0.2),0)</f>
        <v>14.60739985</v>
      </c>
      <c r="I16" s="14">
        <f>IFERROR(NORMINV(RAND(),'Passangers Analysis'!I16,'Passangers Analysis'!I16*0.2),0)</f>
        <v>5.020332535</v>
      </c>
      <c r="J16" s="14">
        <f>IFERROR(NORMINV(RAND(),'Passangers Analysis'!J16,'Passangers Analysis'!J16*0.2),0)</f>
        <v>33.64174499</v>
      </c>
      <c r="K16" s="14">
        <f>IFERROR(NORMINV(RAND(),'Passangers Analysis'!K16,'Passangers Analysis'!K16*0.2),0)</f>
        <v>0</v>
      </c>
      <c r="L16" s="14">
        <f>IFERROR(NORMINV(RAND(),'Passangers Analysis'!L16,'Passangers Analysis'!L16*0.2),0)</f>
        <v>14.99452604</v>
      </c>
      <c r="M16" s="14">
        <f>IFERROR(NORMINV(RAND(),'Passangers Analysis'!M16,'Passangers Analysis'!M16*0.2),0)</f>
        <v>28.69470831</v>
      </c>
      <c r="N16" s="14">
        <f>IFERROR(NORMINV(RAND(),'Passangers Analysis'!N16,'Passangers Analysis'!N16*0.2),0)</f>
        <v>15.55124851</v>
      </c>
      <c r="O16" s="14">
        <f>IFERROR(NORMINV(RAND(),'Passangers Analysis'!O16,'Passangers Analysis'!O16*0.2),0)</f>
        <v>17.22141488</v>
      </c>
      <c r="P16" s="14">
        <f>IFERROR(NORMINV(RAND(),'Passangers Analysis'!P16,'Passangers Analysis'!P16*0.2),0)</f>
        <v>23.00712535</v>
      </c>
      <c r="Q16" s="14">
        <f>IFERROR(NORMINV(RAND(),'Passangers Analysis'!Q16,'Passangers Analysis'!Q16*0.2),0)</f>
        <v>3.388601307</v>
      </c>
      <c r="R16" s="14">
        <f>IFERROR(NORMINV(RAND(),'Passangers Analysis'!R16,'Passangers Analysis'!R16*0.2),0)</f>
        <v>10.76187212</v>
      </c>
      <c r="S16" s="14">
        <f>IFERROR(NORMINV(RAND(),'Passangers Analysis'!S16,'Passangers Analysis'!S16*0.2),0)</f>
        <v>7.035465198</v>
      </c>
      <c r="T16" s="14">
        <f>IFERROR(NORMINV(RAND(),'Passangers Analysis'!T16,'Passangers Analysis'!T16*0.2),0)</f>
        <v>3.219683188</v>
      </c>
      <c r="U16" s="14">
        <f>IFERROR(NORMINV(RAND(),'Passangers Analysis'!U16,'Passangers Analysis'!U16*0.2),0)</f>
        <v>5.280558736</v>
      </c>
      <c r="V16" s="14">
        <f>IFERROR(NORMINV(RAND(),'Passangers Analysis'!V16,'Passangers Analysis'!V16*0.2),0)</f>
        <v>12.41557912</v>
      </c>
      <c r="W16" s="14">
        <f>IFERROR(NORMINV(RAND(),'Passangers Analysis'!W16,'Passangers Analysis'!W16*0.2),0)</f>
        <v>6.908790573</v>
      </c>
      <c r="X16" s="10">
        <f t="shared" si="1"/>
        <v>148.4795733</v>
      </c>
      <c r="Y16" s="11">
        <f>K29</f>
        <v>159.9537651</v>
      </c>
      <c r="Z16" s="10">
        <f t="shared" si="4"/>
        <v>4924.413159</v>
      </c>
      <c r="AA16" s="8">
        <f>Z16/Results!$C$13</f>
        <v>1231.10329</v>
      </c>
      <c r="AB16" s="8">
        <f>AA16/Results!$C$6</f>
        <v>24.13928019</v>
      </c>
      <c r="AD16" s="10">
        <f t="shared" si="2"/>
        <v>98.46237375</v>
      </c>
      <c r="AE16" s="11">
        <f>K30</f>
        <v>278.3690704</v>
      </c>
      <c r="AF16" s="10">
        <f t="shared" si="3"/>
        <v>4152.829761</v>
      </c>
      <c r="AG16" s="8">
        <f>AF16/Results!$C$13</f>
        <v>1038.20744</v>
      </c>
      <c r="AH16" s="8">
        <f>AG16/Results!$C$6</f>
        <v>20.35700863</v>
      </c>
    </row>
    <row r="17" ht="12.75" customHeight="1">
      <c r="A17" s="3">
        <v>10.0</v>
      </c>
      <c r="B17" s="2" t="s">
        <v>13</v>
      </c>
      <c r="C17" s="14">
        <f>IFERROR(NORMINV(RAND(),'Passangers Analysis'!C17,'Passangers Analysis'!C17*0.2),0)</f>
        <v>17.61974791</v>
      </c>
      <c r="D17" s="14">
        <f>IFERROR(NORMINV(RAND(),'Passangers Analysis'!D17,'Passangers Analysis'!D17*0.2),0)</f>
        <v>6.615823721</v>
      </c>
      <c r="E17" s="14">
        <f>IFERROR(NORMINV(RAND(),'Passangers Analysis'!E17,'Passangers Analysis'!E17*0.2),0)</f>
        <v>3.158245557</v>
      </c>
      <c r="F17" s="14">
        <f>IFERROR(NORMINV(RAND(),'Passangers Analysis'!F17,'Passangers Analysis'!F17*0.2),0)</f>
        <v>48.62005994</v>
      </c>
      <c r="G17" s="14">
        <f>IFERROR(NORMINV(RAND(),'Passangers Analysis'!G17,'Passangers Analysis'!G17*0.2),0)</f>
        <v>18.57369858</v>
      </c>
      <c r="H17" s="14">
        <f>IFERROR(NORMINV(RAND(),'Passangers Analysis'!H17,'Passangers Analysis'!H17*0.2),0)</f>
        <v>26.42222248</v>
      </c>
      <c r="I17" s="14">
        <f>IFERROR(NORMINV(RAND(),'Passangers Analysis'!I17,'Passangers Analysis'!I17*0.2),0)</f>
        <v>33.87468629</v>
      </c>
      <c r="J17" s="14">
        <f>IFERROR(NORMINV(RAND(),'Passangers Analysis'!J17,'Passangers Analysis'!J17*0.2),0)</f>
        <v>35.95795888</v>
      </c>
      <c r="K17" s="14">
        <f>IFERROR(NORMINV(RAND(),'Passangers Analysis'!K17,'Passangers Analysis'!K17*0.2),0)</f>
        <v>23.10524242</v>
      </c>
      <c r="L17" s="14">
        <f>IFERROR(NORMINV(RAND(),'Passangers Analysis'!L17,'Passangers Analysis'!L17*0.2),0)</f>
        <v>0</v>
      </c>
      <c r="M17" s="14">
        <f>IFERROR(NORMINV(RAND(),'Passangers Analysis'!M17,'Passangers Analysis'!M17*0.2),0)</f>
        <v>73.18495347</v>
      </c>
      <c r="N17" s="14">
        <f>IFERROR(NORMINV(RAND(),'Passangers Analysis'!N17,'Passangers Analysis'!N17*0.2),0)</f>
        <v>36.5970358</v>
      </c>
      <c r="O17" s="14">
        <f>IFERROR(NORMINV(RAND(),'Passangers Analysis'!O17,'Passangers Analysis'!O17*0.2),0)</f>
        <v>22.39070589</v>
      </c>
      <c r="P17" s="14">
        <f>IFERROR(NORMINV(RAND(),'Passangers Analysis'!P17,'Passangers Analysis'!P17*0.2),0)</f>
        <v>33.86769937</v>
      </c>
      <c r="Q17" s="14">
        <f>IFERROR(NORMINV(RAND(),'Passangers Analysis'!Q17,'Passangers Analysis'!Q17*0.2),0)</f>
        <v>6.859915991</v>
      </c>
      <c r="R17" s="14">
        <f>IFERROR(NORMINV(RAND(),'Passangers Analysis'!R17,'Passangers Analysis'!R17*0.2),0)</f>
        <v>26.09367221</v>
      </c>
      <c r="S17" s="14">
        <f>IFERROR(NORMINV(RAND(),'Passangers Analysis'!S17,'Passangers Analysis'!S17*0.2),0)</f>
        <v>16.8187884</v>
      </c>
      <c r="T17" s="14">
        <f>IFERROR(NORMINV(RAND(),'Passangers Analysis'!T17,'Passangers Analysis'!T17*0.2),0)</f>
        <v>6.183613204</v>
      </c>
      <c r="U17" s="14">
        <f>IFERROR(NORMINV(RAND(),'Passangers Analysis'!U17,'Passangers Analysis'!U17*0.2),0)</f>
        <v>6.182756325</v>
      </c>
      <c r="V17" s="14">
        <f>IFERROR(NORMINV(RAND(),'Passangers Analysis'!V17,'Passangers Analysis'!V17*0.2),0)</f>
        <v>11.07525333</v>
      </c>
      <c r="W17" s="14">
        <f>IFERROR(NORMINV(RAND(),'Passangers Analysis'!W17,'Passangers Analysis'!W17*0.2),0)</f>
        <v>10.70975014</v>
      </c>
      <c r="X17" s="10">
        <f t="shared" si="1"/>
        <v>249.9641441</v>
      </c>
      <c r="Y17" s="11">
        <f>L29</f>
        <v>293.4710594</v>
      </c>
      <c r="Z17" s="10">
        <f t="shared" si="4"/>
        <v>4880.906244</v>
      </c>
      <c r="AA17" s="8">
        <f>Z17/Results!$C$13</f>
        <v>1220.226561</v>
      </c>
      <c r="AB17" s="8">
        <f>AA17/Results!$C$6</f>
        <v>23.926011</v>
      </c>
      <c r="AD17" s="10">
        <f t="shared" si="2"/>
        <v>213.9476858</v>
      </c>
      <c r="AE17" s="11">
        <f>L30</f>
        <v>363.9075468</v>
      </c>
      <c r="AF17" s="10">
        <f t="shared" si="3"/>
        <v>4332.736458</v>
      </c>
      <c r="AG17" s="8">
        <f>AF17/Results!$C$13</f>
        <v>1083.184114</v>
      </c>
      <c r="AH17" s="8">
        <f>AG17/Results!$C$6</f>
        <v>21.2389042</v>
      </c>
    </row>
    <row r="18" ht="12.75" customHeight="1">
      <c r="A18" s="3">
        <v>11.0</v>
      </c>
      <c r="B18" s="2" t="s">
        <v>14</v>
      </c>
      <c r="C18" s="14">
        <f>IFERROR(NORMINV(RAND(),'Passangers Analysis'!C18,'Passangers Analysis'!C18*0.2),0)</f>
        <v>22.13366332</v>
      </c>
      <c r="D18" s="14">
        <f>IFERROR(NORMINV(RAND(),'Passangers Analysis'!D18,'Passangers Analysis'!D18*0.2),0)</f>
        <v>9.121239043</v>
      </c>
      <c r="E18" s="14">
        <f>IFERROR(NORMINV(RAND(),'Passangers Analysis'!E18,'Passangers Analysis'!E18*0.2),0)</f>
        <v>9.682405146</v>
      </c>
      <c r="F18" s="14">
        <f>IFERROR(NORMINV(RAND(),'Passangers Analysis'!F18,'Passangers Analysis'!F18*0.2),0)</f>
        <v>251.8972152</v>
      </c>
      <c r="G18" s="14">
        <f>IFERROR(NORMINV(RAND(),'Passangers Analysis'!G18,'Passangers Analysis'!G18*0.2),0)</f>
        <v>40.66728561</v>
      </c>
      <c r="H18" s="14">
        <f>IFERROR(NORMINV(RAND(),'Passangers Analysis'!H18,'Passangers Analysis'!H18*0.2),0)</f>
        <v>56.8618273</v>
      </c>
      <c r="I18" s="14">
        <f>IFERROR(NORMINV(RAND(),'Passangers Analysis'!I18,'Passangers Analysis'!I18*0.2),0)</f>
        <v>29.63022675</v>
      </c>
      <c r="J18" s="14">
        <f>IFERROR(NORMINV(RAND(),'Passangers Analysis'!J18,'Passangers Analysis'!J18*0.2),0)</f>
        <v>97.72524815</v>
      </c>
      <c r="K18" s="14">
        <f>IFERROR(NORMINV(RAND(),'Passangers Analysis'!K18,'Passangers Analysis'!K18*0.2),0)</f>
        <v>52.8904828</v>
      </c>
      <c r="L18" s="14">
        <f>IFERROR(NORMINV(RAND(),'Passangers Analysis'!L18,'Passangers Analysis'!L18*0.2),0)</f>
        <v>61.47264038</v>
      </c>
      <c r="M18" s="14">
        <f>IFERROR(NORMINV(RAND(),'Passangers Analysis'!M18,'Passangers Analysis'!M18*0.2),0)</f>
        <v>0</v>
      </c>
      <c r="N18" s="14">
        <f>IFERROR(NORMINV(RAND(),'Passangers Analysis'!N18,'Passangers Analysis'!N18*0.2),0)</f>
        <v>334.0929484</v>
      </c>
      <c r="O18" s="14">
        <f>IFERROR(NORMINV(RAND(),'Passangers Analysis'!O18,'Passangers Analysis'!O18*0.2),0)</f>
        <v>67.7166947</v>
      </c>
      <c r="P18" s="14">
        <f>IFERROR(NORMINV(RAND(),'Passangers Analysis'!P18,'Passangers Analysis'!P18*0.2),0)</f>
        <v>154.1097971</v>
      </c>
      <c r="Q18" s="14">
        <f>IFERROR(NORMINV(RAND(),'Passangers Analysis'!Q18,'Passangers Analysis'!Q18*0.2),0)</f>
        <v>15.42521729</v>
      </c>
      <c r="R18" s="14">
        <f>IFERROR(NORMINV(RAND(),'Passangers Analysis'!R18,'Passangers Analysis'!R18*0.2),0)</f>
        <v>105.5202108</v>
      </c>
      <c r="S18" s="14">
        <f>IFERROR(NORMINV(RAND(),'Passangers Analysis'!S18,'Passangers Analysis'!S18*0.2),0)</f>
        <v>46.25411305</v>
      </c>
      <c r="T18" s="14">
        <f>IFERROR(NORMINV(RAND(),'Passangers Analysis'!T18,'Passangers Analysis'!T18*0.2),0)</f>
        <v>14.58614936</v>
      </c>
      <c r="U18" s="14">
        <f>IFERROR(NORMINV(RAND(),'Passangers Analysis'!U18,'Passangers Analysis'!U18*0.2),0)</f>
        <v>12.46931754</v>
      </c>
      <c r="V18" s="14">
        <f>IFERROR(NORMINV(RAND(),'Passangers Analysis'!V18,'Passangers Analysis'!V18*0.2),0)</f>
        <v>20.09001889</v>
      </c>
      <c r="W18" s="14">
        <f>IFERROR(NORMINV(RAND(),'Passangers Analysis'!W18,'Passangers Analysis'!W18*0.2),0)</f>
        <v>23.60250673</v>
      </c>
      <c r="X18" s="10">
        <f t="shared" si="1"/>
        <v>793.8669739</v>
      </c>
      <c r="Y18" s="11">
        <f>M29</f>
        <v>1030.781125</v>
      </c>
      <c r="Z18" s="10">
        <f t="shared" si="4"/>
        <v>4643.992093</v>
      </c>
      <c r="AA18" s="8">
        <f>Z18/Results!$C$13</f>
        <v>1160.998023</v>
      </c>
      <c r="AB18" s="8">
        <f>AA18/Results!$C$6</f>
        <v>22.76466712</v>
      </c>
      <c r="AD18" s="10">
        <f t="shared" si="2"/>
        <v>632.0822337</v>
      </c>
      <c r="AE18" s="11">
        <f>M30</f>
        <v>1369.805829</v>
      </c>
      <c r="AF18" s="10">
        <f t="shared" si="3"/>
        <v>4482.696319</v>
      </c>
      <c r="AG18" s="8">
        <f>AF18/Results!$C$13</f>
        <v>1120.67408</v>
      </c>
      <c r="AH18" s="8">
        <f>AG18/Results!$C$6</f>
        <v>21.97400156</v>
      </c>
    </row>
    <row r="19" ht="12.75" customHeight="1">
      <c r="A19" s="3">
        <v>12.0</v>
      </c>
      <c r="B19" s="2" t="s">
        <v>15</v>
      </c>
      <c r="C19" s="14">
        <f>IFERROR(NORMINV(RAND(),'Passangers Analysis'!C19,'Passangers Analysis'!C19*0.2),0)</f>
        <v>33.07896186</v>
      </c>
      <c r="D19" s="14">
        <f>IFERROR(NORMINV(RAND(),'Passangers Analysis'!D19,'Passangers Analysis'!D19*0.2),0)</f>
        <v>11.28155858</v>
      </c>
      <c r="E19" s="14">
        <f>IFERROR(NORMINV(RAND(),'Passangers Analysis'!E19,'Passangers Analysis'!E19*0.2),0)</f>
        <v>9.326942944</v>
      </c>
      <c r="F19" s="14">
        <f>IFERROR(NORMINV(RAND(),'Passangers Analysis'!F19,'Passangers Analysis'!F19*0.2),0)</f>
        <v>234.4548847</v>
      </c>
      <c r="G19" s="14">
        <f>IFERROR(NORMINV(RAND(),'Passangers Analysis'!G19,'Passangers Analysis'!G19*0.2),0)</f>
        <v>27.6189558</v>
      </c>
      <c r="H19" s="14">
        <f>IFERROR(NORMINV(RAND(),'Passangers Analysis'!H19,'Passangers Analysis'!H19*0.2),0)</f>
        <v>100.7883644</v>
      </c>
      <c r="I19" s="14">
        <f>IFERROR(NORMINV(RAND(),'Passangers Analysis'!I19,'Passangers Analysis'!I19*0.2),0)</f>
        <v>25.77864943</v>
      </c>
      <c r="J19" s="14">
        <f>IFERROR(NORMINV(RAND(),'Passangers Analysis'!J19,'Passangers Analysis'!J19*0.2),0)</f>
        <v>165.5210656</v>
      </c>
      <c r="K19" s="14">
        <f>IFERROR(NORMINV(RAND(),'Passangers Analysis'!K19,'Passangers Analysis'!K19*0.2),0)</f>
        <v>26.47784395</v>
      </c>
      <c r="L19" s="14">
        <f>IFERROR(NORMINV(RAND(),'Passangers Analysis'!L19,'Passangers Analysis'!L19*0.2),0)</f>
        <v>37.91278389</v>
      </c>
      <c r="M19" s="14">
        <f>IFERROR(NORMINV(RAND(),'Passangers Analysis'!M19,'Passangers Analysis'!M19*0.2),0)</f>
        <v>182.8230524</v>
      </c>
      <c r="N19" s="14">
        <f>IFERROR(NORMINV(RAND(),'Passangers Analysis'!N19,'Passangers Analysis'!N19*0.2),0)</f>
        <v>0</v>
      </c>
      <c r="O19" s="14">
        <f>IFERROR(NORMINV(RAND(),'Passangers Analysis'!O19,'Passangers Analysis'!O19*0.2),0)</f>
        <v>29.9360392</v>
      </c>
      <c r="P19" s="14">
        <f>IFERROR(NORMINV(RAND(),'Passangers Analysis'!P19,'Passangers Analysis'!P19*0.2),0)</f>
        <v>168.1016942</v>
      </c>
      <c r="Q19" s="14">
        <f>IFERROR(NORMINV(RAND(),'Passangers Analysis'!Q19,'Passangers Analysis'!Q19*0.2),0)</f>
        <v>6.609387733</v>
      </c>
      <c r="R19" s="14">
        <f>IFERROR(NORMINV(RAND(),'Passangers Analysis'!R19,'Passangers Analysis'!R19*0.2),0)</f>
        <v>132.9754924</v>
      </c>
      <c r="S19" s="14">
        <f>IFERROR(NORMINV(RAND(),'Passangers Analysis'!S19,'Passangers Analysis'!S19*0.2),0)</f>
        <v>63.58325673</v>
      </c>
      <c r="T19" s="14">
        <f>IFERROR(NORMINV(RAND(),'Passangers Analysis'!T19,'Passangers Analysis'!T19*0.2),0)</f>
        <v>7.072056551</v>
      </c>
      <c r="U19" s="14">
        <f>IFERROR(NORMINV(RAND(),'Passangers Analysis'!U19,'Passangers Analysis'!U19*0.2),0)</f>
        <v>13.80108935</v>
      </c>
      <c r="V19" s="14">
        <f>IFERROR(NORMINV(RAND(),'Passangers Analysis'!V19,'Passangers Analysis'!V19*0.2),0)</f>
        <v>24.60320252</v>
      </c>
      <c r="W19" s="14">
        <f>IFERROR(NORMINV(RAND(),'Passangers Analysis'!W19,'Passangers Analysis'!W19*0.2),0)</f>
        <v>24.89047533</v>
      </c>
      <c r="X19" s="10">
        <f t="shared" si="1"/>
        <v>471.572694</v>
      </c>
      <c r="Y19" s="11">
        <f>N29</f>
        <v>1339.475978</v>
      </c>
      <c r="Z19" s="10">
        <f t="shared" si="4"/>
        <v>3776.088808</v>
      </c>
      <c r="AA19" s="8">
        <f>Z19/Results!$C$13</f>
        <v>944.0222021</v>
      </c>
      <c r="AB19" s="8">
        <f>AA19/Results!$C$6</f>
        <v>18.51023926</v>
      </c>
      <c r="AD19" s="10">
        <f t="shared" si="2"/>
        <v>855.0630635</v>
      </c>
      <c r="AE19" s="11">
        <f>N30</f>
        <v>922.2376267</v>
      </c>
      <c r="AF19" s="10">
        <f t="shared" si="3"/>
        <v>5220.419914</v>
      </c>
      <c r="AG19" s="8">
        <f>AF19/Results!$C$13</f>
        <v>1305.104979</v>
      </c>
      <c r="AH19" s="8">
        <f>AG19/Results!$C$6</f>
        <v>25.5902937</v>
      </c>
    </row>
    <row r="20" ht="12.75" customHeight="1">
      <c r="A20" s="3">
        <v>13.0</v>
      </c>
      <c r="B20" s="2" t="s">
        <v>16</v>
      </c>
      <c r="C20" s="14">
        <f>IFERROR(NORMINV(RAND(),'Passangers Analysis'!C20,'Passangers Analysis'!C20*0.2),0)</f>
        <v>7.253765821</v>
      </c>
      <c r="D20" s="14">
        <f>IFERROR(NORMINV(RAND(),'Passangers Analysis'!D20,'Passangers Analysis'!D20*0.2),0)</f>
        <v>5.246648294</v>
      </c>
      <c r="E20" s="14">
        <f>IFERROR(NORMINV(RAND(),'Passangers Analysis'!E20,'Passangers Analysis'!E20*0.2),0)</f>
        <v>0</v>
      </c>
      <c r="F20" s="14">
        <f>IFERROR(NORMINV(RAND(),'Passangers Analysis'!F20,'Passangers Analysis'!F20*0.2),0)</f>
        <v>46.99681586</v>
      </c>
      <c r="G20" s="14">
        <f>IFERROR(NORMINV(RAND(),'Passangers Analysis'!G20,'Passangers Analysis'!G20*0.2),0)</f>
        <v>14.75806467</v>
      </c>
      <c r="H20" s="14">
        <f>IFERROR(NORMINV(RAND(),'Passangers Analysis'!H20,'Passangers Analysis'!H20*0.2),0)</f>
        <v>15.91630102</v>
      </c>
      <c r="I20" s="14">
        <f>IFERROR(NORMINV(RAND(),'Passangers Analysis'!I20,'Passangers Analysis'!I20*0.2),0)</f>
        <v>10.19894696</v>
      </c>
      <c r="J20" s="14">
        <f>IFERROR(NORMINV(RAND(),'Passangers Analysis'!J20,'Passangers Analysis'!J20*0.2),0)</f>
        <v>34.85110366</v>
      </c>
      <c r="K20" s="14">
        <f>IFERROR(NORMINV(RAND(),'Passangers Analysis'!K20,'Passangers Analysis'!K20*0.2),0)</f>
        <v>6.892739372</v>
      </c>
      <c r="L20" s="14">
        <f>IFERROR(NORMINV(RAND(),'Passangers Analysis'!L20,'Passangers Analysis'!L20*0.2),0)</f>
        <v>14.57778878</v>
      </c>
      <c r="M20" s="14">
        <f>IFERROR(NORMINV(RAND(),'Passangers Analysis'!M20,'Passangers Analysis'!M20*0.2),0)</f>
        <v>70.73323562</v>
      </c>
      <c r="N20" s="14">
        <f>IFERROR(NORMINV(RAND(),'Passangers Analysis'!N20,'Passangers Analysis'!N20*0.2),0)</f>
        <v>31.16406732</v>
      </c>
      <c r="O20" s="14">
        <f>IFERROR(NORMINV(RAND(),'Passangers Analysis'!O20,'Passangers Analysis'!O20*0.2),0)</f>
        <v>0</v>
      </c>
      <c r="P20" s="14">
        <f>IFERROR(NORMINV(RAND(),'Passangers Analysis'!P20,'Passangers Analysis'!P20*0.2),0)</f>
        <v>44.46966337</v>
      </c>
      <c r="Q20" s="14">
        <f>IFERROR(NORMINV(RAND(),'Passangers Analysis'!Q20,'Passangers Analysis'!Q20*0.2),0)</f>
        <v>4.542545656</v>
      </c>
      <c r="R20" s="14">
        <f>IFERROR(NORMINV(RAND(),'Passangers Analysis'!R20,'Passangers Analysis'!R20*0.2),0)</f>
        <v>21.80870514</v>
      </c>
      <c r="S20" s="14">
        <f>IFERROR(NORMINV(RAND(),'Passangers Analysis'!S20,'Passangers Analysis'!S20*0.2),0)</f>
        <v>9.571415509</v>
      </c>
      <c r="T20" s="14">
        <f>IFERROR(NORMINV(RAND(),'Passangers Analysis'!T20,'Passangers Analysis'!T20*0.2),0)</f>
        <v>7.509508933</v>
      </c>
      <c r="U20" s="14">
        <f>IFERROR(NORMINV(RAND(),'Passangers Analysis'!U20,'Passangers Analysis'!U20*0.2),0)</f>
        <v>3.929151298</v>
      </c>
      <c r="V20" s="14">
        <f>IFERROR(NORMINV(RAND(),'Passangers Analysis'!V20,'Passangers Analysis'!V20*0.2),0)</f>
        <v>10.55217282</v>
      </c>
      <c r="W20" s="14">
        <f>IFERROR(NORMINV(RAND(),'Passangers Analysis'!W20,'Passangers Analysis'!W20*0.2),0)</f>
        <v>12.89453437</v>
      </c>
      <c r="X20" s="10">
        <f t="shared" si="1"/>
        <v>115.2776971</v>
      </c>
      <c r="Y20" s="11">
        <f>O29</f>
        <v>366.9971314</v>
      </c>
      <c r="Z20" s="10">
        <f t="shared" si="4"/>
        <v>3524.369374</v>
      </c>
      <c r="AA20" s="8">
        <f>Z20/Results!$C$13</f>
        <v>881.0923435</v>
      </c>
      <c r="AB20" s="8">
        <f>AA20/Results!$C$6</f>
        <v>17.27632046</v>
      </c>
      <c r="AD20" s="10">
        <f t="shared" si="2"/>
        <v>258.5894774</v>
      </c>
      <c r="AE20" s="11">
        <f>O30</f>
        <v>269.5378181</v>
      </c>
      <c r="AF20" s="10">
        <f t="shared" si="3"/>
        <v>5287.594477</v>
      </c>
      <c r="AG20" s="8">
        <f>AF20/Results!$C$13</f>
        <v>1321.898619</v>
      </c>
      <c r="AH20" s="8">
        <f>AG20/Results!$C$6</f>
        <v>25.91958077</v>
      </c>
    </row>
    <row r="21" ht="12.75" customHeight="1">
      <c r="A21" s="3">
        <v>14.0</v>
      </c>
      <c r="B21" s="2" t="s">
        <v>17</v>
      </c>
      <c r="C21" s="14">
        <f>IFERROR(NORMINV(RAND(),'Passangers Analysis'!C21,'Passangers Analysis'!C21*0.2),0)</f>
        <v>25.85589062</v>
      </c>
      <c r="D21" s="14">
        <f>IFERROR(NORMINV(RAND(),'Passangers Analysis'!D21,'Passangers Analysis'!D21*0.2),0)</f>
        <v>15.22443304</v>
      </c>
      <c r="E21" s="14">
        <f>IFERROR(NORMINV(RAND(),'Passangers Analysis'!E21,'Passangers Analysis'!E21*0.2),0)</f>
        <v>9.307498182</v>
      </c>
      <c r="F21" s="14">
        <f>IFERROR(NORMINV(RAND(),'Passangers Analysis'!F21,'Passangers Analysis'!F21*0.2),0)</f>
        <v>116.3651668</v>
      </c>
      <c r="G21" s="14">
        <f>IFERROR(NORMINV(RAND(),'Passangers Analysis'!G21,'Passangers Analysis'!G21*0.2),0)</f>
        <v>18.53575477</v>
      </c>
      <c r="H21" s="14">
        <f>IFERROR(NORMINV(RAND(),'Passangers Analysis'!H21,'Passangers Analysis'!H21*0.2),0)</f>
        <v>54.8599771</v>
      </c>
      <c r="I21" s="14">
        <f>IFERROR(NORMINV(RAND(),'Passangers Analysis'!I21,'Passangers Analysis'!I21*0.2),0)</f>
        <v>20.51488596</v>
      </c>
      <c r="J21" s="14">
        <f>IFERROR(NORMINV(RAND(),'Passangers Analysis'!J21,'Passangers Analysis'!J21*0.2),0)</f>
        <v>74.56798622</v>
      </c>
      <c r="K21" s="14">
        <f>IFERROR(NORMINV(RAND(),'Passangers Analysis'!K21,'Passangers Analysis'!K21*0.2),0)</f>
        <v>29.11709547</v>
      </c>
      <c r="L21" s="14">
        <f>IFERROR(NORMINV(RAND(),'Passangers Analysis'!L21,'Passangers Analysis'!L21*0.2),0)</f>
        <v>42.59606972</v>
      </c>
      <c r="M21" s="14">
        <f>IFERROR(NORMINV(RAND(),'Passangers Analysis'!M21,'Passangers Analysis'!M21*0.2),0)</f>
        <v>262.5073277</v>
      </c>
      <c r="N21" s="14">
        <f>IFERROR(NORMINV(RAND(),'Passangers Analysis'!N21,'Passangers Analysis'!N21*0.2),0)</f>
        <v>160.733602</v>
      </c>
      <c r="O21" s="14">
        <f>IFERROR(NORMINV(RAND(),'Passangers Analysis'!O21,'Passangers Analysis'!O21*0.2),0)</f>
        <v>56.36110001</v>
      </c>
      <c r="P21" s="14">
        <f>IFERROR(NORMINV(RAND(),'Passangers Analysis'!P21,'Passangers Analysis'!P21*0.2),0)</f>
        <v>0</v>
      </c>
      <c r="Q21" s="14">
        <f>IFERROR(NORMINV(RAND(),'Passangers Analysis'!Q21,'Passangers Analysis'!Q21*0.2),0)</f>
        <v>17.59928585</v>
      </c>
      <c r="R21" s="14">
        <f>IFERROR(NORMINV(RAND(),'Passangers Analysis'!R21,'Passangers Analysis'!R21*0.2),0)</f>
        <v>105.4887882</v>
      </c>
      <c r="S21" s="14">
        <f>IFERROR(NORMINV(RAND(),'Passangers Analysis'!S21,'Passangers Analysis'!S21*0.2),0)</f>
        <v>75.59133389</v>
      </c>
      <c r="T21" s="14">
        <f>IFERROR(NORMINV(RAND(),'Passangers Analysis'!T21,'Passangers Analysis'!T21*0.2),0)</f>
        <v>5.220052966</v>
      </c>
      <c r="U21" s="14">
        <f>IFERROR(NORMINV(RAND(),'Passangers Analysis'!U21,'Passangers Analysis'!U21*0.2),0)</f>
        <v>10.24153071</v>
      </c>
      <c r="V21" s="14">
        <f>IFERROR(NORMINV(RAND(),'Passangers Analysis'!V21,'Passangers Analysis'!V21*0.2),0)</f>
        <v>15.92788661</v>
      </c>
      <c r="W21" s="14">
        <f>IFERROR(NORMINV(RAND(),'Passangers Analysis'!W21,'Passangers Analysis'!W21*0.2),0)</f>
        <v>13.18035926</v>
      </c>
      <c r="X21" s="10">
        <f t="shared" si="1"/>
        <v>243.2492375</v>
      </c>
      <c r="Y21" s="11">
        <f>P29</f>
        <v>1250.133443</v>
      </c>
      <c r="Z21" s="10">
        <f t="shared" si="4"/>
        <v>2517.485168</v>
      </c>
      <c r="AA21" s="8">
        <f>Z21/Results!$C$13</f>
        <v>629.371292</v>
      </c>
      <c r="AB21" s="8">
        <f>AA21/Results!$C$6</f>
        <v>12.34061357</v>
      </c>
      <c r="AD21" s="10">
        <f t="shared" si="2"/>
        <v>886.5467876</v>
      </c>
      <c r="AE21" s="11">
        <f>P30</f>
        <v>700.7855434</v>
      </c>
      <c r="AF21" s="10">
        <f t="shared" si="3"/>
        <v>5298.542818</v>
      </c>
      <c r="AG21" s="8">
        <f>AF21/Results!$C$13</f>
        <v>1324.635704</v>
      </c>
      <c r="AH21" s="8">
        <f>AG21/Results!$C$6</f>
        <v>25.97324911</v>
      </c>
    </row>
    <row r="22" ht="12.75" customHeight="1">
      <c r="A22" s="3">
        <v>15.0</v>
      </c>
      <c r="B22" s="2" t="s">
        <v>18</v>
      </c>
      <c r="C22" s="14">
        <f>IFERROR(NORMINV(RAND(),'Passangers Analysis'!C22,'Passangers Analysis'!C22*0.2),0)</f>
        <v>12.95811534</v>
      </c>
      <c r="D22" s="14">
        <f>IFERROR(NORMINV(RAND(),'Passangers Analysis'!D22,'Passangers Analysis'!D22*0.2),0)</f>
        <v>5.381110951</v>
      </c>
      <c r="E22" s="14">
        <f>IFERROR(NORMINV(RAND(),'Passangers Analysis'!E22,'Passangers Analysis'!E22*0.2),0)</f>
        <v>5.84311322</v>
      </c>
      <c r="F22" s="14">
        <f>IFERROR(NORMINV(RAND(),'Passangers Analysis'!F22,'Passangers Analysis'!F22*0.2),0)</f>
        <v>43.20850609</v>
      </c>
      <c r="G22" s="14">
        <f>IFERROR(NORMINV(RAND(),'Passangers Analysis'!G22,'Passangers Analysis'!G22*0.2),0)</f>
        <v>23.41906711</v>
      </c>
      <c r="H22" s="14">
        <f>IFERROR(NORMINV(RAND(),'Passangers Analysis'!H22,'Passangers Analysis'!H22*0.2),0)</f>
        <v>27.09555556</v>
      </c>
      <c r="I22" s="14">
        <f>IFERROR(NORMINV(RAND(),'Passangers Analysis'!I22,'Passangers Analysis'!I22*0.2),0)</f>
        <v>24.40805755</v>
      </c>
      <c r="J22" s="14">
        <f>IFERROR(NORMINV(RAND(),'Passangers Analysis'!J22,'Passangers Analysis'!J22*0.2),0)</f>
        <v>27.87799237</v>
      </c>
      <c r="K22" s="14">
        <f>IFERROR(NORMINV(RAND(),'Passangers Analysis'!K22,'Passangers Analysis'!K22*0.2),0)</f>
        <v>15.3128981</v>
      </c>
      <c r="L22" s="14">
        <f>IFERROR(NORMINV(RAND(),'Passangers Analysis'!L22,'Passangers Analysis'!L22*0.2),0)</f>
        <v>29.56791293</v>
      </c>
      <c r="M22" s="14">
        <f>IFERROR(NORMINV(RAND(),'Passangers Analysis'!M22,'Passangers Analysis'!M22*0.2),0)</f>
        <v>39.81723248</v>
      </c>
      <c r="N22" s="14">
        <f>IFERROR(NORMINV(RAND(),'Passangers Analysis'!N22,'Passangers Analysis'!N22*0.2),0)</f>
        <v>67.66318898</v>
      </c>
      <c r="O22" s="14">
        <f>IFERROR(NORMINV(RAND(),'Passangers Analysis'!O22,'Passangers Analysis'!O22*0.2),0)</f>
        <v>16.1573179</v>
      </c>
      <c r="P22" s="14">
        <f>IFERROR(NORMINV(RAND(),'Passangers Analysis'!P22,'Passangers Analysis'!P22*0.2),0)</f>
        <v>43.96949189</v>
      </c>
      <c r="Q22" s="14">
        <f>IFERROR(NORMINV(RAND(),'Passangers Analysis'!Q22,'Passangers Analysis'!Q22*0.2),0)</f>
        <v>0</v>
      </c>
      <c r="R22" s="14">
        <f>IFERROR(NORMINV(RAND(),'Passangers Analysis'!R22,'Passangers Analysis'!R22*0.2),0)</f>
        <v>26.02937061</v>
      </c>
      <c r="S22" s="14">
        <f>IFERROR(NORMINV(RAND(),'Passangers Analysis'!S22,'Passangers Analysis'!S22*0.2),0)</f>
        <v>32.23070742</v>
      </c>
      <c r="T22" s="14">
        <f>IFERROR(NORMINV(RAND(),'Passangers Analysis'!T22,'Passangers Analysis'!T22*0.2),0)</f>
        <v>12.37481352</v>
      </c>
      <c r="U22" s="14">
        <f>IFERROR(NORMINV(RAND(),'Passangers Analysis'!U22,'Passangers Analysis'!U22*0.2),0)</f>
        <v>9.251479695</v>
      </c>
      <c r="V22" s="14">
        <f>IFERROR(NORMINV(RAND(),'Passangers Analysis'!V22,'Passangers Analysis'!V22*0.2),0)</f>
        <v>6.350834786</v>
      </c>
      <c r="W22" s="14">
        <f>IFERROR(NORMINV(RAND(),'Passangers Analysis'!W22,'Passangers Analysis'!W22*0.2),0)</f>
        <v>9.462636362</v>
      </c>
      <c r="X22" s="10">
        <f t="shared" si="1"/>
        <v>95.69984238</v>
      </c>
      <c r="Y22" s="11">
        <f>Q29</f>
        <v>181.0729731</v>
      </c>
      <c r="Z22" s="10">
        <f t="shared" si="4"/>
        <v>2432.112037</v>
      </c>
      <c r="AA22" s="8">
        <f>Z22/Results!$C$13</f>
        <v>608.0280094</v>
      </c>
      <c r="AB22" s="8">
        <f>AA22/Results!$C$6</f>
        <v>11.92211783</v>
      </c>
      <c r="AD22" s="10">
        <f t="shared" si="2"/>
        <v>382.6795605</v>
      </c>
      <c r="AE22" s="11">
        <f>Q30</f>
        <v>82.0831281</v>
      </c>
      <c r="AF22" s="10">
        <f t="shared" si="3"/>
        <v>5112.781574</v>
      </c>
      <c r="AG22" s="8">
        <f>AF22/Results!$C$13</f>
        <v>1278.195393</v>
      </c>
      <c r="AH22" s="8">
        <f>AG22/Results!$C$6</f>
        <v>25.06265477</v>
      </c>
    </row>
    <row r="23" ht="12.75" customHeight="1">
      <c r="A23" s="3">
        <v>16.0</v>
      </c>
      <c r="B23" s="2" t="s">
        <v>19</v>
      </c>
      <c r="C23" s="14">
        <f>IFERROR(NORMINV(RAND(),'Passangers Analysis'!C23,'Passangers Analysis'!C23*0.2),0)</f>
        <v>14.1872574</v>
      </c>
      <c r="D23" s="14">
        <f>IFERROR(NORMINV(RAND(),'Passangers Analysis'!D23,'Passangers Analysis'!D23*0.2),0)</f>
        <v>15.64536028</v>
      </c>
      <c r="E23" s="14">
        <f>IFERROR(NORMINV(RAND(),'Passangers Analysis'!E23,'Passangers Analysis'!E23*0.2),0)</f>
        <v>12.29240209</v>
      </c>
      <c r="F23" s="14">
        <f>IFERROR(NORMINV(RAND(),'Passangers Analysis'!F23,'Passangers Analysis'!F23*0.2),0)</f>
        <v>141.1910523</v>
      </c>
      <c r="G23" s="14">
        <f>IFERROR(NORMINV(RAND(),'Passangers Analysis'!G23,'Passangers Analysis'!G23*0.2),0)</f>
        <v>59.9855579</v>
      </c>
      <c r="H23" s="14">
        <f>IFERROR(NORMINV(RAND(),'Passangers Analysis'!H23,'Passangers Analysis'!H23*0.2),0)</f>
        <v>219.1973069</v>
      </c>
      <c r="I23" s="14">
        <f>IFERROR(NORMINV(RAND(),'Passangers Analysis'!I23,'Passangers Analysis'!I23*0.2),0)</f>
        <v>73.04266718</v>
      </c>
      <c r="J23" s="14">
        <f>IFERROR(NORMINV(RAND(),'Passangers Analysis'!J23,'Passangers Analysis'!J23*0.2),0)</f>
        <v>102.6523422</v>
      </c>
      <c r="K23" s="14">
        <f>IFERROR(NORMINV(RAND(),'Passangers Analysis'!K23,'Passangers Analysis'!K23*0.2),0)</f>
        <v>26.1199157</v>
      </c>
      <c r="L23" s="14">
        <f>IFERROR(NORMINV(RAND(),'Passangers Analysis'!L23,'Passangers Analysis'!L23*0.2),0)</f>
        <v>41.48128957</v>
      </c>
      <c r="M23" s="14">
        <f>IFERROR(NORMINV(RAND(),'Passangers Analysis'!M23,'Passangers Analysis'!M23*0.2),0)</f>
        <v>362.2375871</v>
      </c>
      <c r="N23" s="14">
        <f>IFERROR(NORMINV(RAND(),'Passangers Analysis'!N23,'Passangers Analysis'!N23*0.2),0)</f>
        <v>205.6785195</v>
      </c>
      <c r="O23" s="14">
        <f>IFERROR(NORMINV(RAND(),'Passangers Analysis'!O23,'Passangers Analysis'!O23*0.2),0)</f>
        <v>64.19739847</v>
      </c>
      <c r="P23" s="14">
        <f>IFERROR(NORMINV(RAND(),'Passangers Analysis'!P23,'Passangers Analysis'!P23*0.2),0)</f>
        <v>272.1284411</v>
      </c>
      <c r="Q23" s="14">
        <f>IFERROR(NORMINV(RAND(),'Passangers Analysis'!Q23,'Passangers Analysis'!Q23*0.2),0)</f>
        <v>32.52220524</v>
      </c>
      <c r="R23" s="14">
        <f>IFERROR(NORMINV(RAND(),'Passangers Analysis'!R23,'Passangers Analysis'!R23*0.2),0)</f>
        <v>0</v>
      </c>
      <c r="S23" s="14">
        <f>IFERROR(NORMINV(RAND(),'Passangers Analysis'!S23,'Passangers Analysis'!S23*0.2),0)</f>
        <v>85.11309427</v>
      </c>
      <c r="T23" s="14">
        <f>IFERROR(NORMINV(RAND(),'Passangers Analysis'!T23,'Passangers Analysis'!T23*0.2),0)</f>
        <v>30.01954931</v>
      </c>
      <c r="U23" s="14">
        <f>IFERROR(NORMINV(RAND(),'Passangers Analysis'!U23,'Passangers Analysis'!U23*0.2),0)</f>
        <v>31.25125641</v>
      </c>
      <c r="V23" s="14">
        <f>IFERROR(NORMINV(RAND(),'Passangers Analysis'!V23,'Passangers Analysis'!V23*0.2),0)</f>
        <v>30.3560833</v>
      </c>
      <c r="W23" s="14">
        <f>IFERROR(NORMINV(RAND(),'Passangers Analysis'!W23,'Passangers Analysis'!W23*0.2),0)</f>
        <v>44.69765518</v>
      </c>
      <c r="X23" s="10">
        <f t="shared" si="1"/>
        <v>221.4376385</v>
      </c>
      <c r="Y23" s="11">
        <f>R29</f>
        <v>999.9658131</v>
      </c>
      <c r="Z23" s="10">
        <f t="shared" si="4"/>
        <v>1653.583863</v>
      </c>
      <c r="AA23" s="8">
        <f>Z23/Results!$C$13</f>
        <v>413.3959657</v>
      </c>
      <c r="AB23" s="8">
        <f>AA23/Results!$C$6</f>
        <v>8.105803249</v>
      </c>
      <c r="AD23" s="10">
        <f t="shared" si="2"/>
        <v>1642.559303</v>
      </c>
      <c r="AE23" s="11">
        <f>R30</f>
        <v>292.0462817</v>
      </c>
      <c r="AF23" s="10">
        <f t="shared" si="3"/>
        <v>4812.185141</v>
      </c>
      <c r="AG23" s="8">
        <f>AF23/Results!$C$13</f>
        <v>1203.046285</v>
      </c>
      <c r="AH23" s="8">
        <f>AG23/Results!$C$6</f>
        <v>23.58914285</v>
      </c>
    </row>
    <row r="24" ht="12.75" customHeight="1">
      <c r="A24" s="3">
        <v>17.0</v>
      </c>
      <c r="B24" s="2" t="s">
        <v>20</v>
      </c>
      <c r="C24" s="14">
        <f>IFERROR(NORMINV(RAND(),'Passangers Analysis'!C24,'Passangers Analysis'!C24*0.2),0)</f>
        <v>34.00178731</v>
      </c>
      <c r="D24" s="14">
        <f>IFERROR(NORMINV(RAND(),'Passangers Analysis'!D24,'Passangers Analysis'!D24*0.2),0)</f>
        <v>23.26991829</v>
      </c>
      <c r="E24" s="14">
        <f>IFERROR(NORMINV(RAND(),'Passangers Analysis'!E24,'Passangers Analysis'!E24*0.2),0)</f>
        <v>13.82031838</v>
      </c>
      <c r="F24" s="14">
        <f>IFERROR(NORMINV(RAND(),'Passangers Analysis'!F24,'Passangers Analysis'!F24*0.2),0)</f>
        <v>176.2270748</v>
      </c>
      <c r="G24" s="14">
        <f>IFERROR(NORMINV(RAND(),'Passangers Analysis'!G24,'Passangers Analysis'!G24*0.2),0)</f>
        <v>35.88544265</v>
      </c>
      <c r="H24" s="14">
        <f>IFERROR(NORMINV(RAND(),'Passangers Analysis'!H24,'Passangers Analysis'!H24*0.2),0)</f>
        <v>99.08357429</v>
      </c>
      <c r="I24" s="14">
        <f>IFERROR(NORMINV(RAND(),'Passangers Analysis'!I24,'Passangers Analysis'!I24*0.2),0)</f>
        <v>63.62732595</v>
      </c>
      <c r="J24" s="14">
        <f>IFERROR(NORMINV(RAND(),'Passangers Analysis'!J24,'Passangers Analysis'!J24*0.2),0)</f>
        <v>240.0798894</v>
      </c>
      <c r="K24" s="14">
        <f>IFERROR(NORMINV(RAND(),'Passangers Analysis'!K24,'Passangers Analysis'!K24*0.2),0)</f>
        <v>45.21068695</v>
      </c>
      <c r="L24" s="14">
        <f>IFERROR(NORMINV(RAND(),'Passangers Analysis'!L24,'Passangers Analysis'!L24*0.2),0)</f>
        <v>52.85508489</v>
      </c>
      <c r="M24" s="14">
        <f>IFERROR(NORMINV(RAND(),'Passangers Analysis'!M24,'Passangers Analysis'!M24*0.2),0)</f>
        <v>220.9429324</v>
      </c>
      <c r="N24" s="14">
        <f>IFERROR(NORMINV(RAND(),'Passangers Analysis'!N24,'Passangers Analysis'!N24*0.2),0)</f>
        <v>283.4432069</v>
      </c>
      <c r="O24" s="14">
        <f>IFERROR(NORMINV(RAND(),'Passangers Analysis'!O24,'Passangers Analysis'!O24*0.2),0)</f>
        <v>47.39578228</v>
      </c>
      <c r="P24" s="14">
        <f>IFERROR(NORMINV(RAND(),'Passangers Analysis'!P24,'Passangers Analysis'!P24*0.2),0)</f>
        <v>185.7369424</v>
      </c>
      <c r="Q24" s="14">
        <f>IFERROR(NORMINV(RAND(),'Passangers Analysis'!Q24,'Passangers Analysis'!Q24*0.2),0)</f>
        <v>14.0358201</v>
      </c>
      <c r="R24" s="14">
        <f>IFERROR(NORMINV(RAND(),'Passangers Analysis'!R24,'Passangers Analysis'!R24*0.2),0)</f>
        <v>163.0719005</v>
      </c>
      <c r="S24" s="14">
        <f>IFERROR(NORMINV(RAND(),'Passangers Analysis'!S24,'Passangers Analysis'!S24*0.2),0)</f>
        <v>0</v>
      </c>
      <c r="T24" s="14">
        <f>IFERROR(NORMINV(RAND(),'Passangers Analysis'!T24,'Passangers Analysis'!T24*0.2),0)</f>
        <v>15.0080592</v>
      </c>
      <c r="U24" s="14">
        <f>IFERROR(NORMINV(RAND(),'Passangers Analysis'!U24,'Passangers Analysis'!U24*0.2),0)</f>
        <v>27.50417304</v>
      </c>
      <c r="V24" s="14">
        <f>IFERROR(NORMINV(RAND(),'Passangers Analysis'!V24,'Passangers Analysis'!V24*0.2),0)</f>
        <v>57.05161244</v>
      </c>
      <c r="W24" s="14">
        <f>IFERROR(NORMINV(RAND(),'Passangers Analysis'!W24,'Passangers Analysis'!W24*0.2),0)</f>
        <v>41.19312835</v>
      </c>
      <c r="X24" s="10">
        <f t="shared" si="1"/>
        <v>140.756973</v>
      </c>
      <c r="Y24" s="11">
        <f>S29</f>
        <v>713.0384637</v>
      </c>
      <c r="Z24" s="10">
        <f t="shared" si="4"/>
        <v>1081.302372</v>
      </c>
      <c r="AA24" s="8">
        <f>Z24/Results!$C$13</f>
        <v>270.325593</v>
      </c>
      <c r="AB24" s="8">
        <f>AA24/Results!$C$6</f>
        <v>5.300501824</v>
      </c>
      <c r="AD24" s="10">
        <f t="shared" si="2"/>
        <v>1698.687687</v>
      </c>
      <c r="AE24" s="11">
        <f>S30</f>
        <v>127.8446257</v>
      </c>
      <c r="AF24" s="10">
        <f t="shared" si="3"/>
        <v>3461.67212</v>
      </c>
      <c r="AG24" s="8">
        <f>AF24/Results!$C$13</f>
        <v>865.41803</v>
      </c>
      <c r="AH24" s="8">
        <f>AG24/Results!$C$6</f>
        <v>16.96898098</v>
      </c>
    </row>
    <row r="25" ht="12.75" customHeight="1">
      <c r="A25" s="3">
        <v>18.0</v>
      </c>
      <c r="B25" s="2" t="s">
        <v>21</v>
      </c>
      <c r="C25" s="14">
        <f>IFERROR(NORMINV(RAND(),'Passangers Analysis'!C25,'Passangers Analysis'!C25*0.2),0)</f>
        <v>5.24903145</v>
      </c>
      <c r="D25" s="14">
        <f>IFERROR(NORMINV(RAND(),'Passangers Analysis'!D25,'Passangers Analysis'!D25*0.2),0)</f>
        <v>7.309116896</v>
      </c>
      <c r="E25" s="14">
        <f>IFERROR(NORMINV(RAND(),'Passangers Analysis'!E25,'Passangers Analysis'!E25*0.2),0)</f>
        <v>10.82311593</v>
      </c>
      <c r="F25" s="14">
        <f>IFERROR(NORMINV(RAND(),'Passangers Analysis'!F25,'Passangers Analysis'!F25*0.2),0)</f>
        <v>34.37502474</v>
      </c>
      <c r="G25" s="14">
        <f>IFERROR(NORMINV(RAND(),'Passangers Analysis'!G25,'Passangers Analysis'!G25*0.2),0)</f>
        <v>14.04816098</v>
      </c>
      <c r="H25" s="14">
        <f>IFERROR(NORMINV(RAND(),'Passangers Analysis'!H25,'Passangers Analysis'!H25*0.2),0)</f>
        <v>19.40359814</v>
      </c>
      <c r="I25" s="14">
        <f>IFERROR(NORMINV(RAND(),'Passangers Analysis'!I25,'Passangers Analysis'!I25*0.2),0)</f>
        <v>17.48338877</v>
      </c>
      <c r="J25" s="14">
        <f>IFERROR(NORMINV(RAND(),'Passangers Analysis'!J25,'Passangers Analysis'!J25*0.2),0)</f>
        <v>20.50923926</v>
      </c>
      <c r="K25" s="14">
        <f>IFERROR(NORMINV(RAND(),'Passangers Analysis'!K25,'Passangers Analysis'!K25*0.2),0)</f>
        <v>12.07523978</v>
      </c>
      <c r="L25" s="14">
        <f>IFERROR(NORMINV(RAND(),'Passangers Analysis'!L25,'Passangers Analysis'!L25*0.2),0)</f>
        <v>16.93751405</v>
      </c>
      <c r="M25" s="14">
        <f>IFERROR(NORMINV(RAND(),'Passangers Analysis'!M25,'Passangers Analysis'!M25*0.2),0)</f>
        <v>40.45927695</v>
      </c>
      <c r="N25" s="14">
        <f>IFERROR(NORMINV(RAND(),'Passangers Analysis'!N25,'Passangers Analysis'!N25*0.2),0)</f>
        <v>32.29587565</v>
      </c>
      <c r="O25" s="14">
        <f>IFERROR(NORMINV(RAND(),'Passangers Analysis'!O25,'Passangers Analysis'!O25*0.2),0)</f>
        <v>11.78949022</v>
      </c>
      <c r="P25" s="14">
        <f>IFERROR(NORMINV(RAND(),'Passangers Analysis'!P25,'Passangers Analysis'!P25*0.2),0)</f>
        <v>18.22269006</v>
      </c>
      <c r="Q25" s="14">
        <f>IFERROR(NORMINV(RAND(),'Passangers Analysis'!Q25,'Passangers Analysis'!Q25*0.2),0)</f>
        <v>2.828039343</v>
      </c>
      <c r="R25" s="14">
        <f>IFERROR(NORMINV(RAND(),'Passangers Analysis'!R25,'Passangers Analysis'!R25*0.2),0)</f>
        <v>23.03078459</v>
      </c>
      <c r="S25" s="14">
        <f>IFERROR(NORMINV(RAND(),'Passangers Analysis'!S25,'Passangers Analysis'!S25*0.2),0)</f>
        <v>13.14107535</v>
      </c>
      <c r="T25" s="14">
        <f>IFERROR(NORMINV(RAND(),'Passangers Analysis'!T25,'Passangers Analysis'!T25*0.2),0)</f>
        <v>0</v>
      </c>
      <c r="U25" s="14">
        <f>IFERROR(NORMINV(RAND(),'Passangers Analysis'!U25,'Passangers Analysis'!U25*0.2),0)</f>
        <v>11.9552038</v>
      </c>
      <c r="V25" s="14">
        <f>IFERROR(NORMINV(RAND(),'Passangers Analysis'!V25,'Passangers Analysis'!V25*0.2),0)</f>
        <v>8.148247456</v>
      </c>
      <c r="W25" s="14">
        <f>IFERROR(NORMINV(RAND(),'Passangers Analysis'!W25,'Passangers Analysis'!W25*0.2),0)</f>
        <v>9.593144437</v>
      </c>
      <c r="X25" s="10">
        <f t="shared" si="1"/>
        <v>29.69659569</v>
      </c>
      <c r="Y25" s="11">
        <f>T29</f>
        <v>192.3406148</v>
      </c>
      <c r="Z25" s="10">
        <f t="shared" si="4"/>
        <v>918.658353</v>
      </c>
      <c r="AA25" s="8">
        <f>Z25/Results!$C$13</f>
        <v>229.6645883</v>
      </c>
      <c r="AB25" s="8">
        <f>AA25/Results!$C$6</f>
        <v>4.503227221</v>
      </c>
      <c r="AD25" s="10">
        <f t="shared" si="2"/>
        <v>299.9806622</v>
      </c>
      <c r="AE25" s="11">
        <f>T30</f>
        <v>22.85429943</v>
      </c>
      <c r="AF25" s="10">
        <f t="shared" si="3"/>
        <v>1890.829059</v>
      </c>
      <c r="AG25" s="8">
        <f>AF25/Results!$C$13</f>
        <v>472.7072646</v>
      </c>
      <c r="AH25" s="8">
        <f>AG25/Results!$C$6</f>
        <v>9.268769895</v>
      </c>
    </row>
    <row r="26" ht="12.75" customHeight="1">
      <c r="A26" s="3">
        <v>19.0</v>
      </c>
      <c r="B26" s="2" t="s">
        <v>22</v>
      </c>
      <c r="C26" s="14">
        <f>IFERROR(NORMINV(RAND(),'Passangers Analysis'!C26,'Passangers Analysis'!C26*0.2),0)</f>
        <v>10.3910322</v>
      </c>
      <c r="D26" s="14">
        <f>IFERROR(NORMINV(RAND(),'Passangers Analysis'!D26,'Passangers Analysis'!D26*0.2),0)</f>
        <v>8.897483775</v>
      </c>
      <c r="E26" s="14">
        <f>IFERROR(NORMINV(RAND(),'Passangers Analysis'!E26,'Passangers Analysis'!E26*0.2),0)</f>
        <v>5.087073222</v>
      </c>
      <c r="F26" s="14">
        <f>IFERROR(NORMINV(RAND(),'Passangers Analysis'!F26,'Passangers Analysis'!F26*0.2),0)</f>
        <v>34.89701466</v>
      </c>
      <c r="G26" s="14">
        <f>IFERROR(NORMINV(RAND(),'Passangers Analysis'!G26,'Passangers Analysis'!G26*0.2),0)</f>
        <v>23.49339164</v>
      </c>
      <c r="H26" s="14">
        <f>IFERROR(NORMINV(RAND(),'Passangers Analysis'!H26,'Passangers Analysis'!H26*0.2),0)</f>
        <v>15.4943574</v>
      </c>
      <c r="I26" s="14">
        <f>IFERROR(NORMINV(RAND(),'Passangers Analysis'!I26,'Passangers Analysis'!I26*0.2),0)</f>
        <v>11.30951599</v>
      </c>
      <c r="J26" s="14">
        <f>IFERROR(NORMINV(RAND(),'Passangers Analysis'!J26,'Passangers Analysis'!J26*0.2),0)</f>
        <v>45.331523</v>
      </c>
      <c r="K26" s="14">
        <f>IFERROR(NORMINV(RAND(),'Passangers Analysis'!K26,'Passangers Analysis'!K26*0.2),0)</f>
        <v>13.2462606</v>
      </c>
      <c r="L26" s="14">
        <f>IFERROR(NORMINV(RAND(),'Passangers Analysis'!L26,'Passangers Analysis'!L26*0.2),0)</f>
        <v>8.722723334</v>
      </c>
      <c r="M26" s="14">
        <f>IFERROR(NORMINV(RAND(),'Passangers Analysis'!M26,'Passangers Analysis'!M26*0.2),0)</f>
        <v>40.64566982</v>
      </c>
      <c r="N26" s="14">
        <f>IFERROR(NORMINV(RAND(),'Passangers Analysis'!N26,'Passangers Analysis'!N26*0.2),0)</f>
        <v>28.20862649</v>
      </c>
      <c r="O26" s="14">
        <f>IFERROR(NORMINV(RAND(),'Passangers Analysis'!O26,'Passangers Analysis'!O26*0.2),0)</f>
        <v>9.701735318</v>
      </c>
      <c r="P26" s="14">
        <f>IFERROR(NORMINV(RAND(),'Passangers Analysis'!P26,'Passangers Analysis'!P26*0.2),0)</f>
        <v>48.2874215</v>
      </c>
      <c r="Q26" s="14">
        <f>IFERROR(NORMINV(RAND(),'Passangers Analysis'!Q26,'Passangers Analysis'!Q26*0.2),0)</f>
        <v>6.66793864</v>
      </c>
      <c r="R26" s="14">
        <f>IFERROR(NORMINV(RAND(),'Passangers Analysis'!R26,'Passangers Analysis'!R26*0.2),0)</f>
        <v>30.46326513</v>
      </c>
      <c r="S26" s="14">
        <f>IFERROR(NORMINV(RAND(),'Passangers Analysis'!S26,'Passangers Analysis'!S26*0.2),0)</f>
        <v>32.37665627</v>
      </c>
      <c r="T26" s="14">
        <f>IFERROR(NORMINV(RAND(),'Passangers Analysis'!T26,'Passangers Analysis'!T26*0.2),0)</f>
        <v>5.602594447</v>
      </c>
      <c r="U26" s="14">
        <f>IFERROR(NORMINV(RAND(),'Passangers Analysis'!U26,'Passangers Analysis'!U26*0.2),0)</f>
        <v>0</v>
      </c>
      <c r="V26" s="14">
        <f>IFERROR(NORMINV(RAND(),'Passangers Analysis'!V26,'Passangers Analysis'!V26*0.2),0)</f>
        <v>7.573833546</v>
      </c>
      <c r="W26" s="14">
        <f>IFERROR(NORMINV(RAND(),'Passangers Analysis'!W26,'Passangers Analysis'!W26*0.2),0)</f>
        <v>15.8148059</v>
      </c>
      <c r="X26" s="10">
        <f t="shared" si="1"/>
        <v>23.38863945</v>
      </c>
      <c r="Y26" s="11">
        <f>U29</f>
        <v>220.8129553</v>
      </c>
      <c r="Z26" s="10">
        <f t="shared" si="4"/>
        <v>721.2340372</v>
      </c>
      <c r="AA26" s="8">
        <f>Z26/Results!$C$13</f>
        <v>180.3085093</v>
      </c>
      <c r="AB26" s="8">
        <f>AA26/Results!$C$6</f>
        <v>3.535460967</v>
      </c>
      <c r="AD26" s="10">
        <f t="shared" si="2"/>
        <v>378.8242834</v>
      </c>
      <c r="AE26" s="11">
        <f>U30</f>
        <v>23.47280939</v>
      </c>
      <c r="AF26" s="10">
        <f t="shared" si="3"/>
        <v>1613.702696</v>
      </c>
      <c r="AG26" s="8">
        <f>AF26/Results!$C$13</f>
        <v>403.4256739</v>
      </c>
      <c r="AH26" s="8">
        <f>AG26/Results!$C$6</f>
        <v>7.910307332</v>
      </c>
    </row>
    <row r="27" ht="12.75" customHeight="1">
      <c r="A27" s="3">
        <v>20.0</v>
      </c>
      <c r="B27" s="2" t="s">
        <v>23</v>
      </c>
      <c r="C27" s="14">
        <f>IFERROR(NORMINV(RAND(),'Passangers Analysis'!C27,'Passangers Analysis'!C27*0.2),0)</f>
        <v>30.63821717</v>
      </c>
      <c r="D27" s="14">
        <f>IFERROR(NORMINV(RAND(),'Passangers Analysis'!D27,'Passangers Analysis'!D27*0.2),0)</f>
        <v>10.93772555</v>
      </c>
      <c r="E27" s="14">
        <f>IFERROR(NORMINV(RAND(),'Passangers Analysis'!E27,'Passangers Analysis'!E27*0.2),0)</f>
        <v>7.459583687</v>
      </c>
      <c r="F27" s="14">
        <f>IFERROR(NORMINV(RAND(),'Passangers Analysis'!F27,'Passangers Analysis'!F27*0.2),0)</f>
        <v>77.80542799</v>
      </c>
      <c r="G27" s="14">
        <f>IFERROR(NORMINV(RAND(),'Passangers Analysis'!G27,'Passangers Analysis'!G27*0.2),0)</f>
        <v>22.15710572</v>
      </c>
      <c r="H27" s="14">
        <f>IFERROR(NORMINV(RAND(),'Passangers Analysis'!H27,'Passangers Analysis'!H27*0.2),0)</f>
        <v>35.9846365</v>
      </c>
      <c r="I27" s="14">
        <f>IFERROR(NORMINV(RAND(),'Passangers Analysis'!I27,'Passangers Analysis'!I27*0.2),0)</f>
        <v>13.70511647</v>
      </c>
      <c r="J27" s="14">
        <f>IFERROR(NORMINV(RAND(),'Passangers Analysis'!J27,'Passangers Analysis'!J27*0.2),0)</f>
        <v>38.52287102</v>
      </c>
      <c r="K27" s="14">
        <f>IFERROR(NORMINV(RAND(),'Passangers Analysis'!K27,'Passangers Analysis'!K27*0.2),0)</f>
        <v>14.91462099</v>
      </c>
      <c r="L27" s="14">
        <f>IFERROR(NORMINV(RAND(),'Passangers Analysis'!L27,'Passangers Analysis'!L27*0.2),0)</f>
        <v>29.75406282</v>
      </c>
      <c r="M27" s="14">
        <f>IFERROR(NORMINV(RAND(),'Passangers Analysis'!M27,'Passangers Analysis'!M27*0.2),0)</f>
        <v>49.71033269</v>
      </c>
      <c r="N27" s="14">
        <f>IFERROR(NORMINV(RAND(),'Passangers Analysis'!N27,'Passangers Analysis'!N27*0.2),0)</f>
        <v>71.55501278</v>
      </c>
      <c r="O27" s="14">
        <f>IFERROR(NORMINV(RAND(),'Passangers Analysis'!O27,'Passangers Analysis'!O27*0.2),0)</f>
        <v>43.85955452</v>
      </c>
      <c r="P27" s="14">
        <f>IFERROR(NORMINV(RAND(),'Passangers Analysis'!P27,'Passangers Analysis'!P27*0.2),0)</f>
        <v>64.89448032</v>
      </c>
      <c r="Q27" s="14">
        <f>IFERROR(NORMINV(RAND(),'Passangers Analysis'!Q27,'Passangers Analysis'!Q27*0.2),0)</f>
        <v>9.749669357</v>
      </c>
      <c r="R27" s="14">
        <f>IFERROR(NORMINV(RAND(),'Passangers Analysis'!R27,'Passangers Analysis'!R27*0.2),0)</f>
        <v>26.28140158</v>
      </c>
      <c r="S27" s="14">
        <f>IFERROR(NORMINV(RAND(),'Passangers Analysis'!S27,'Passangers Analysis'!S27*0.2),0)</f>
        <v>38.08099029</v>
      </c>
      <c r="T27" s="14">
        <f>IFERROR(NORMINV(RAND(),'Passangers Analysis'!T27,'Passangers Analysis'!T27*0.2),0)</f>
        <v>8.366695782</v>
      </c>
      <c r="U27" s="14">
        <f>IFERROR(NORMINV(RAND(),'Passangers Analysis'!U27,'Passangers Analysis'!U27*0.2),0)</f>
        <v>10.66082541</v>
      </c>
      <c r="V27" s="14">
        <f>IFERROR(NORMINV(RAND(),'Passangers Analysis'!V27,'Passangers Analysis'!V27*0.2),0)</f>
        <v>0</v>
      </c>
      <c r="W27" s="14">
        <f>IFERROR(NORMINV(RAND(),'Passangers Analysis'!W27,'Passangers Analysis'!W27*0.2),0)</f>
        <v>15.4442425</v>
      </c>
      <c r="X27" s="10">
        <f t="shared" si="1"/>
        <v>15.4442425</v>
      </c>
      <c r="Y27" s="11">
        <f>V29</f>
        <v>354.0566206</v>
      </c>
      <c r="Z27" s="10">
        <f t="shared" si="4"/>
        <v>382.6216591</v>
      </c>
      <c r="AA27" s="8">
        <f>Z27/Results!$C$13</f>
        <v>95.65541477</v>
      </c>
      <c r="AB27" s="8">
        <f>AA27/Results!$C$6</f>
        <v>1.875596368</v>
      </c>
      <c r="AD27" s="10">
        <f t="shared" si="2"/>
        <v>605.0383306</v>
      </c>
      <c r="AE27" s="11">
        <f>V30</f>
        <v>28.22800019</v>
      </c>
      <c r="AF27" s="10">
        <f t="shared" si="3"/>
        <v>1258.351222</v>
      </c>
      <c r="AG27" s="8">
        <f>AF27/Results!$C$13</f>
        <v>314.5878054</v>
      </c>
      <c r="AH27" s="8">
        <f>AG27/Results!$C$6</f>
        <v>6.168388342</v>
      </c>
    </row>
    <row r="28" ht="12.75" customHeight="1">
      <c r="A28" s="3">
        <v>21.0</v>
      </c>
      <c r="B28" s="2" t="s">
        <v>24</v>
      </c>
      <c r="C28" s="14">
        <f>IFERROR(NORMINV(RAND(),'Passangers Analysis'!C28,'Passangers Analysis'!C28*0.2),0)</f>
        <v>18.14502579</v>
      </c>
      <c r="D28" s="14">
        <f>IFERROR(NORMINV(RAND(),'Passangers Analysis'!D28,'Passangers Analysis'!D28*0.2),0)</f>
        <v>7.250280837</v>
      </c>
      <c r="E28" s="14">
        <f>IFERROR(NORMINV(RAND(),'Passangers Analysis'!E28,'Passangers Analysis'!E28*0.2),0)</f>
        <v>8.638970675</v>
      </c>
      <c r="F28" s="14">
        <f>IFERROR(NORMINV(RAND(),'Passangers Analysis'!F28,'Passangers Analysis'!F28*0.2),0)</f>
        <v>86.67958976</v>
      </c>
      <c r="G28" s="14">
        <f>IFERROR(NORMINV(RAND(),'Passangers Analysis'!G28,'Passangers Analysis'!G28*0.2),0)</f>
        <v>24.63818956</v>
      </c>
      <c r="H28" s="14">
        <f>IFERROR(NORMINV(RAND(),'Passangers Analysis'!H28,'Passangers Analysis'!H28*0.2),0)</f>
        <v>31.02382257</v>
      </c>
      <c r="I28" s="14">
        <f>IFERROR(NORMINV(RAND(),'Passangers Analysis'!I28,'Passangers Analysis'!I28*0.2),0)</f>
        <v>28.82285244</v>
      </c>
      <c r="J28" s="14">
        <f>IFERROR(NORMINV(RAND(),'Passangers Analysis'!J28,'Passangers Analysis'!J28*0.2),0)</f>
        <v>46.61093173</v>
      </c>
      <c r="K28" s="14">
        <f>IFERROR(NORMINV(RAND(),'Passangers Analysis'!K28,'Passangers Analysis'!K28*0.2),0)</f>
        <v>13.00604427</v>
      </c>
      <c r="L28" s="14">
        <f>IFERROR(NORMINV(RAND(),'Passangers Analysis'!L28,'Passangers Analysis'!L28*0.2),0)</f>
        <v>28.02967648</v>
      </c>
      <c r="M28" s="14">
        <f>IFERROR(NORMINV(RAND(),'Passangers Analysis'!M28,'Passangers Analysis'!M28*0.2),0)</f>
        <v>99.92918203</v>
      </c>
      <c r="N28" s="14">
        <f>IFERROR(NORMINV(RAND(),'Passangers Analysis'!N28,'Passangers Analysis'!N28*0.2),0)</f>
        <v>41.49552709</v>
      </c>
      <c r="O28" s="14">
        <f>IFERROR(NORMINV(RAND(),'Passangers Analysis'!O28,'Passangers Analysis'!O28*0.2),0)</f>
        <v>20.07543938</v>
      </c>
      <c r="P28" s="14">
        <f>IFERROR(NORMINV(RAND(),'Passangers Analysis'!P28,'Passangers Analysis'!P28*0.2),0)</f>
        <v>67.54607616</v>
      </c>
      <c r="Q28" s="14">
        <f>IFERROR(NORMINV(RAND(),'Passangers Analysis'!Q28,'Passangers Analysis'!Q28*0.2),0)</f>
        <v>16.27945542</v>
      </c>
      <c r="R28" s="14">
        <f>IFERROR(NORMINV(RAND(),'Passangers Analysis'!R28,'Passangers Analysis'!R28*0.2),0)</f>
        <v>49.19892994</v>
      </c>
      <c r="S28" s="14">
        <f>IFERROR(NORMINV(RAND(),'Passangers Analysis'!S28,'Passangers Analysis'!S28*0.2),0)</f>
        <v>44.2459038</v>
      </c>
      <c r="T28" s="14">
        <f>IFERROR(NORMINV(RAND(),'Passangers Analysis'!T28,'Passangers Analysis'!T28*0.2),0)</f>
        <v>8.885009197</v>
      </c>
      <c r="U28" s="14">
        <f>IFERROR(NORMINV(RAND(),'Passangers Analysis'!U28,'Passangers Analysis'!U28*0.2),0)</f>
        <v>12.81198398</v>
      </c>
      <c r="V28" s="14">
        <f>IFERROR(NORMINV(RAND(),'Passangers Analysis'!V28,'Passangers Analysis'!V28*0.2),0)</f>
        <v>28.22800019</v>
      </c>
      <c r="W28" s="14">
        <f>IFERROR(NORMINV(RAND(),'Passangers Analysis'!W28,'Passangers Analysis'!W28*0.2),0)</f>
        <v>0</v>
      </c>
      <c r="X28" s="10">
        <f t="shared" si="1"/>
        <v>0</v>
      </c>
      <c r="Y28" s="11">
        <f>W29</f>
        <v>382.6216591</v>
      </c>
      <c r="Z28" s="10">
        <f t="shared" si="4"/>
        <v>0</v>
      </c>
      <c r="AA28" s="8">
        <f>Z28/Results!$C$13</f>
        <v>0</v>
      </c>
      <c r="AB28" s="8">
        <f>AA28/Results!$C$6</f>
        <v>0</v>
      </c>
      <c r="AD28" s="10">
        <f t="shared" si="2"/>
        <v>681.5408913</v>
      </c>
      <c r="AE28" s="11">
        <f>W30</f>
        <v>0</v>
      </c>
      <c r="AF28" s="10">
        <f>AD28-AE28</f>
        <v>681.5408913</v>
      </c>
      <c r="AG28" s="8">
        <f>AF28/Results!$C$13</f>
        <v>170.3852228</v>
      </c>
      <c r="AH28" s="8">
        <f>AG28/Results!$C$6</f>
        <v>3.340886722</v>
      </c>
    </row>
    <row r="29" ht="12.75" customHeight="1">
      <c r="A29" s="3"/>
      <c r="B29" s="2" t="s">
        <v>43</v>
      </c>
      <c r="C29" s="12">
        <f t="array" ref="C29">SUM(IF($A$8:$A$28&lt;C$5,C8:C28,0))</f>
        <v>0</v>
      </c>
      <c r="D29" s="12">
        <f t="array" ref="D29">SUM(IF($A$8:$A$28&lt;D$5,D8:D28,0))</f>
        <v>6.592268926</v>
      </c>
      <c r="E29" s="12">
        <f t="array" ref="E29">SUM(IF($A$8:$A$28&lt;E$5,E8:E28,0))</f>
        <v>8.668993423</v>
      </c>
      <c r="F29" s="12">
        <f t="array" ref="F29">SUM(IF($A$8:$A$28&lt;F$5,F8:F28,0))</f>
        <v>132.8327347</v>
      </c>
      <c r="G29" s="12">
        <f t="array" ref="G29">SUM(IF($A$8:$A$28&lt;G$5,G8:G28,0))</f>
        <v>54.41929114</v>
      </c>
      <c r="H29" s="12">
        <f t="array" ref="H29">SUM(IF($A$8:$A$28&lt;H$5,H8:H28,0))</f>
        <v>112.2458173</v>
      </c>
      <c r="I29" s="12">
        <f t="array" ref="I29">SUM(IF($A$8:$A$28&lt;I$5,I8:I28,0))</f>
        <v>99.10745743</v>
      </c>
      <c r="J29" s="12">
        <f t="array" ref="J29">SUM(IF($A$8:$A$28&lt;J$5,J8:J28,0))</f>
        <v>526.1496991</v>
      </c>
      <c r="K29" s="12">
        <f t="array" ref="K29">SUM(IF($A$8:$A$28&lt;K$5,K8:K28,0))</f>
        <v>159.9537651</v>
      </c>
      <c r="L29" s="12">
        <f t="array" ref="L29">SUM(IF($A$8:$A$28&lt;L$5,L8:L28,0))</f>
        <v>293.4710594</v>
      </c>
      <c r="M29" s="12">
        <f t="array" ref="M29">SUM(IF($A$8:$A$28&lt;M$5,M8:M28,0))</f>
        <v>1030.781125</v>
      </c>
      <c r="N29" s="12">
        <f t="array" ref="N29">SUM(IF($A$8:$A$28&lt;N$5,N8:N28,0))</f>
        <v>1339.475978</v>
      </c>
      <c r="O29" s="12">
        <f t="array" ref="O29">SUM(IF($A$8:$A$28&lt;O$5,O8:O28,0))</f>
        <v>366.9971314</v>
      </c>
      <c r="P29" s="12">
        <f t="array" ref="P29">SUM(IF($A$8:$A$28&lt;P$5,P8:P28,0))</f>
        <v>1250.133443</v>
      </c>
      <c r="Q29" s="12">
        <f t="array" ref="Q29">SUM(IF($A$8:$A$28&lt;Q$5,Q8:Q28,0))</f>
        <v>181.0729731</v>
      </c>
      <c r="R29" s="12">
        <f t="array" ref="R29">SUM(IF($A$8:$A$28&lt;R$5,R8:R28,0))</f>
        <v>999.9658131</v>
      </c>
      <c r="S29" s="12">
        <f t="array" ref="S29">SUM(IF($A$8:$A$28&lt;S$5,S8:S28,0))</f>
        <v>713.0384637</v>
      </c>
      <c r="T29" s="12">
        <f t="array" ref="T29">SUM(IF($A$8:$A$28&lt;T$5,T8:T28,0))</f>
        <v>192.3406148</v>
      </c>
      <c r="U29" s="12">
        <f t="array" ref="U29">SUM(IF($A$8:$A$28&lt;U$5,U8:U28,0))</f>
        <v>220.8129553</v>
      </c>
      <c r="V29" s="12">
        <f t="array" ref="V29">SUM(IF($A$8:$A$28&lt;V$5,V8:V28,0))</f>
        <v>354.0566206</v>
      </c>
      <c r="W29" s="12">
        <f t="array" ref="W29">SUM(IF($A$8:$A$28&lt;W$5,W8:W28,0))</f>
        <v>382.6216591</v>
      </c>
      <c r="X29" s="10"/>
      <c r="AA29" s="15" t="s">
        <v>44</v>
      </c>
      <c r="AB29" s="15">
        <f>ROUNDUP(MAX(AB8:AB28),0)</f>
        <v>25</v>
      </c>
      <c r="AG29" s="15" t="s">
        <v>44</v>
      </c>
      <c r="AH29" s="15">
        <f>ROUNDUP(MAX(AH8:AH28),0)</f>
        <v>26</v>
      </c>
    </row>
    <row r="30" ht="12.75" customHeight="1">
      <c r="B30" s="2" t="s">
        <v>40</v>
      </c>
      <c r="C30" s="11">
        <f t="array" ref="C30">SUM(IF($A$8:$A$28&gt;C$5,C8:C28,0))</f>
        <v>340.1261972</v>
      </c>
      <c r="D30" s="11">
        <f t="array" ref="D30">SUM(IF($A$8:$A$28&gt;D$5,D8:D28,0))</f>
        <v>196.0302529</v>
      </c>
      <c r="E30" s="11">
        <f t="array" ref="E30">SUM(IF($A$8:$A$28&gt;E$5,E8:E28,0))</f>
        <v>137.6353391</v>
      </c>
      <c r="F30" s="11">
        <f t="array" ref="F30">SUM(IF($A$8:$A$28&gt;F$5,F8:F28,0))</f>
        <v>1714.574336</v>
      </c>
      <c r="G30" s="11">
        <f t="array" ref="G30">SUM(IF($A$8:$A$28&gt;G$5,G8:G28,0))</f>
        <v>423.4227931</v>
      </c>
      <c r="H30" s="11">
        <f t="array" ref="H30">SUM(IF($A$8:$A$28&gt;H$5,H8:H28,0))</f>
        <v>827.9651264</v>
      </c>
      <c r="I30" s="11">
        <f t="array" ref="I30">SUM(IF($A$8:$A$28&gt;I$5,I8:I28,0))</f>
        <v>368.0040638</v>
      </c>
      <c r="J30" s="11">
        <f t="array" ref="J30">SUM(IF($A$8:$A$28&gt;J$5,J8:J28,0))</f>
        <v>963.8498964</v>
      </c>
      <c r="K30" s="11">
        <f t="array" ref="K30">SUM(IF($A$8:$A$28&gt;K$5,K8:K28,0))</f>
        <v>278.3690704</v>
      </c>
      <c r="L30" s="11">
        <f t="array" ref="L30">SUM(IF($A$8:$A$28&gt;L$5,L8:L28,0))</f>
        <v>363.9075468</v>
      </c>
      <c r="M30" s="11">
        <f t="array" ref="M30">SUM(IF($A$8:$A$28&gt;M$5,M8:M28,0))</f>
        <v>1369.805829</v>
      </c>
      <c r="N30" s="11">
        <f t="array" ref="N30">SUM(IF($A$8:$A$28&gt;N$5,N8:N28,0))</f>
        <v>922.2376267</v>
      </c>
      <c r="O30" s="11">
        <f t="array" ref="O30">SUM(IF($A$8:$A$28&gt;O$5,O8:O28,0))</f>
        <v>269.5378181</v>
      </c>
      <c r="P30" s="11">
        <f t="array" ref="P30">SUM(IF($A$8:$A$28&gt;P$5,P8:P28,0))</f>
        <v>700.7855434</v>
      </c>
      <c r="Q30" s="11">
        <f t="array" ref="Q30">SUM(IF($A$8:$A$28&gt;Q$5,Q8:Q28,0))</f>
        <v>82.0831281</v>
      </c>
      <c r="R30" s="11">
        <f t="array" ref="R30">SUM(IF($A$8:$A$28&gt;R$5,R8:R28,0))</f>
        <v>292.0462817</v>
      </c>
      <c r="S30" s="11">
        <f t="array" ref="S30">SUM(IF($A$8:$A$28&gt;S$5,S8:S28,0))</f>
        <v>127.8446257</v>
      </c>
      <c r="T30" s="11">
        <f t="array" ref="T30">SUM(IF($A$8:$A$28&gt;T$5,T8:T28,0))</f>
        <v>22.85429943</v>
      </c>
      <c r="U30" s="11">
        <f t="array" ref="U30">SUM(IF($A$8:$A$28&gt;U$5,U8:U28,0))</f>
        <v>23.47280939</v>
      </c>
      <c r="V30" s="11">
        <f t="array" ref="V30">SUM(IF($A$8:$A$28&gt;V$5,V8:V28,0))</f>
        <v>28.22800019</v>
      </c>
      <c r="W30" s="11">
        <f t="array" ref="W30">SUM(IF($A$8:$A$28&gt;W$5,W8:W28,0))</f>
        <v>0</v>
      </c>
      <c r="X30" s="10"/>
      <c r="AA30" s="15" t="s">
        <v>45</v>
      </c>
      <c r="AB30" s="8">
        <f>IF(Results!C7-'Normal Distribution simulation'!AB29&gt;=0,1,0)</f>
        <v>1</v>
      </c>
      <c r="AG30" s="15" t="s">
        <v>45</v>
      </c>
      <c r="AH30" s="8">
        <f>IF(Results!C7-'Normal Distribution simulation'!AH29&gt;=0,1,0)</f>
        <v>1</v>
      </c>
    </row>
    <row r="31" ht="12.75" customHeight="1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5"/>
      <c r="AA31" s="15"/>
    </row>
    <row r="32" ht="12.75" customHeight="1">
      <c r="AA32" s="15"/>
    </row>
    <row r="33" ht="12.75" customHeight="1">
      <c r="AA33" s="15"/>
    </row>
    <row r="34" ht="12.75" customHeight="1">
      <c r="AA34" s="15"/>
    </row>
    <row r="35" ht="12.75" customHeight="1">
      <c r="A35" s="13" t="s">
        <v>29</v>
      </c>
    </row>
    <row r="36" ht="12.75" customHeight="1">
      <c r="A36" s="13" t="s">
        <v>30</v>
      </c>
    </row>
    <row r="37" ht="12.75" customHeight="1">
      <c r="A37" s="13" t="s">
        <v>31</v>
      </c>
    </row>
    <row r="38" ht="12.75" customHeight="1"/>
    <row r="39" ht="12.75" customHeight="1">
      <c r="A39" s="1" t="s">
        <v>32</v>
      </c>
      <c r="B39" s="1" t="s">
        <v>33</v>
      </c>
      <c r="V39" s="1"/>
    </row>
    <row r="40" ht="12.75" customHeight="1"/>
    <row r="41" ht="12.75" customHeight="1">
      <c r="B41" s="2" t="s">
        <v>2</v>
      </c>
      <c r="C41" s="3">
        <v>1.0</v>
      </c>
      <c r="D41" s="3">
        <v>2.0</v>
      </c>
      <c r="E41" s="3">
        <v>3.0</v>
      </c>
      <c r="F41" s="3">
        <v>4.0</v>
      </c>
      <c r="G41" s="3">
        <v>5.0</v>
      </c>
      <c r="H41" s="3">
        <v>6.0</v>
      </c>
      <c r="I41" s="3">
        <v>7.0</v>
      </c>
      <c r="J41" s="3">
        <v>8.0</v>
      </c>
      <c r="K41" s="3">
        <v>9.0</v>
      </c>
      <c r="L41" s="3">
        <v>10.0</v>
      </c>
      <c r="M41" s="3">
        <v>11.0</v>
      </c>
      <c r="N41" s="3">
        <v>12.0</v>
      </c>
      <c r="O41" s="3">
        <v>13.0</v>
      </c>
      <c r="P41" s="3">
        <v>14.0</v>
      </c>
      <c r="Q41" s="3">
        <v>15.0</v>
      </c>
      <c r="R41" s="3">
        <v>16.0</v>
      </c>
      <c r="S41" s="3">
        <v>17.0</v>
      </c>
      <c r="T41" s="3">
        <v>18.0</v>
      </c>
      <c r="U41" s="3">
        <v>19.0</v>
      </c>
      <c r="V41" s="3">
        <v>20.0</v>
      </c>
      <c r="W41" s="3">
        <v>21.0</v>
      </c>
    </row>
    <row r="42" ht="12.75" customHeight="1">
      <c r="B42" s="2" t="s">
        <v>3</v>
      </c>
      <c r="C42" s="2" t="s">
        <v>4</v>
      </c>
      <c r="D42" s="2" t="s">
        <v>5</v>
      </c>
      <c r="E42" s="2" t="s">
        <v>6</v>
      </c>
      <c r="F42" s="2" t="s">
        <v>7</v>
      </c>
      <c r="G42" s="2" t="s">
        <v>8</v>
      </c>
      <c r="H42" s="2" t="s">
        <v>9</v>
      </c>
      <c r="I42" s="2" t="s">
        <v>10</v>
      </c>
      <c r="J42" s="2" t="s">
        <v>11</v>
      </c>
      <c r="K42" s="2" t="s">
        <v>12</v>
      </c>
      <c r="L42" s="2" t="s">
        <v>13</v>
      </c>
      <c r="M42" s="2" t="s">
        <v>14</v>
      </c>
      <c r="N42" s="2" t="s">
        <v>15</v>
      </c>
      <c r="O42" s="2" t="s">
        <v>16</v>
      </c>
      <c r="P42" s="2" t="s">
        <v>17</v>
      </c>
      <c r="Q42" s="2" t="s">
        <v>18</v>
      </c>
      <c r="R42" s="2" t="s">
        <v>19</v>
      </c>
      <c r="S42" s="2" t="s">
        <v>20</v>
      </c>
      <c r="T42" s="2" t="s">
        <v>21</v>
      </c>
      <c r="U42" s="2" t="s">
        <v>22</v>
      </c>
      <c r="V42" s="2" t="s">
        <v>23</v>
      </c>
      <c r="W42" s="2" t="s">
        <v>24</v>
      </c>
    </row>
    <row r="43" ht="12.75" customHeight="1">
      <c r="B43" s="4" t="s">
        <v>25</v>
      </c>
      <c r="C43" s="5">
        <v>0.0</v>
      </c>
      <c r="D43" s="6">
        <v>0.75</v>
      </c>
      <c r="E43" s="7">
        <v>1.2</v>
      </c>
      <c r="F43" s="7">
        <v>1.7</v>
      </c>
      <c r="G43" s="7">
        <v>2.0</v>
      </c>
      <c r="H43" s="7">
        <v>3.0</v>
      </c>
      <c r="I43" s="7">
        <v>3.3</v>
      </c>
      <c r="J43" s="7">
        <v>3.7</v>
      </c>
      <c r="K43" s="7">
        <v>4.4</v>
      </c>
      <c r="L43" s="7">
        <v>4.9</v>
      </c>
      <c r="M43" s="7">
        <v>5.4</v>
      </c>
      <c r="N43" s="7">
        <v>6.1</v>
      </c>
      <c r="O43" s="7">
        <v>6.6</v>
      </c>
      <c r="P43" s="7">
        <v>7.2</v>
      </c>
      <c r="Q43" s="7">
        <v>7.5</v>
      </c>
      <c r="R43" s="7">
        <v>8.2</v>
      </c>
      <c r="S43" s="7">
        <v>8.9</v>
      </c>
      <c r="T43" s="7">
        <v>9.5</v>
      </c>
      <c r="U43" s="7">
        <v>10.4</v>
      </c>
      <c r="V43" s="7">
        <v>10.9</v>
      </c>
      <c r="W43" s="7">
        <v>11.4</v>
      </c>
      <c r="X43" s="8" t="s">
        <v>34</v>
      </c>
      <c r="Y43" s="8" t="s">
        <v>35</v>
      </c>
      <c r="Z43" s="8" t="s">
        <v>36</v>
      </c>
      <c r="AA43" s="8" t="s">
        <v>37</v>
      </c>
      <c r="AB43" s="8" t="s">
        <v>38</v>
      </c>
      <c r="AD43" s="8" t="s">
        <v>39</v>
      </c>
      <c r="AE43" s="8" t="s">
        <v>40</v>
      </c>
      <c r="AF43" s="8" t="s">
        <v>41</v>
      </c>
      <c r="AG43" s="8" t="s">
        <v>42</v>
      </c>
      <c r="AH43" s="8" t="s">
        <v>38</v>
      </c>
    </row>
    <row r="44" ht="12.75" customHeight="1">
      <c r="A44" s="3">
        <v>1.0</v>
      </c>
      <c r="B44" s="2" t="s">
        <v>4</v>
      </c>
      <c r="C44" s="14">
        <f>IFERROR(NORMINV(RAND(),'Passangers Analysis'!C40,'Passangers Analysis'!C40*0.2),0)</f>
        <v>0</v>
      </c>
      <c r="D44" s="14">
        <f>IFERROR(NORMINV(RAND(),'Passangers Analysis'!D40,'Passangers Analysis'!D40*0.2),0)</f>
        <v>2.791732342</v>
      </c>
      <c r="E44" s="14">
        <f>IFERROR(NORMINV(RAND(),'Passangers Analysis'!E40,'Passangers Analysis'!E40*0.2),0)</f>
        <v>0.938087964</v>
      </c>
      <c r="F44" s="14">
        <f>IFERROR(NORMINV(RAND(),'Passangers Analysis'!F40,'Passangers Analysis'!F40*0.2),0)</f>
        <v>10.39785648</v>
      </c>
      <c r="G44" s="14">
        <f>IFERROR(NORMINV(RAND(),'Passangers Analysis'!G40,'Passangers Analysis'!G40*0.2),0)</f>
        <v>3.438505845</v>
      </c>
      <c r="H44" s="14">
        <f>IFERROR(NORMINV(RAND(),'Passangers Analysis'!H40,'Passangers Analysis'!H40*0.2),0)</f>
        <v>7.687187857</v>
      </c>
      <c r="I44" s="14">
        <f>IFERROR(NORMINV(RAND(),'Passangers Analysis'!I40,'Passangers Analysis'!I40*0.2),0)</f>
        <v>4.561189695</v>
      </c>
      <c r="J44" s="14">
        <f>IFERROR(NORMINV(RAND(),'Passangers Analysis'!J40,'Passangers Analysis'!J40*0.2),0)</f>
        <v>5.858819656</v>
      </c>
      <c r="K44" s="14">
        <f>IFERROR(NORMINV(RAND(),'Passangers Analysis'!K40,'Passangers Analysis'!K40*0.2),0)</f>
        <v>4.561206722</v>
      </c>
      <c r="L44" s="14">
        <f>IFERROR(NORMINV(RAND(),'Passangers Analysis'!L40,'Passangers Analysis'!L40*0.2),0)</f>
        <v>4.449722868</v>
      </c>
      <c r="M44" s="14">
        <f>IFERROR(NORMINV(RAND(),'Passangers Analysis'!M40,'Passangers Analysis'!M40*0.2),0)</f>
        <v>9.789414841</v>
      </c>
      <c r="N44" s="14">
        <f>IFERROR(NORMINV(RAND(),'Passangers Analysis'!N40,'Passangers Analysis'!N40*0.2),0)</f>
        <v>15.15251118</v>
      </c>
      <c r="O44" s="14">
        <f>IFERROR(NORMINV(RAND(),'Passangers Analysis'!O40,'Passangers Analysis'!O40*0.2),0)</f>
        <v>6.05404292</v>
      </c>
      <c r="P44" s="14">
        <f>IFERROR(NORMINV(RAND(),'Passangers Analysis'!P40,'Passangers Analysis'!P40*0.2),0)</f>
        <v>8.116727715</v>
      </c>
      <c r="Q44" s="14">
        <f>IFERROR(NORMINV(RAND(),'Passangers Analysis'!Q40,'Passangers Analysis'!Q40*0.2),0)</f>
        <v>2.265619112</v>
      </c>
      <c r="R44" s="14">
        <f>IFERROR(NORMINV(RAND(),'Passangers Analysis'!R40,'Passangers Analysis'!R40*0.2),0)</f>
        <v>8.190868273</v>
      </c>
      <c r="S44" s="14">
        <f>IFERROR(NORMINV(RAND(),'Passangers Analysis'!S40,'Passangers Analysis'!S40*0.2),0)</f>
        <v>5.900965817</v>
      </c>
      <c r="T44" s="14">
        <f>IFERROR(NORMINV(RAND(),'Passangers Analysis'!T40,'Passangers Analysis'!T40*0.2),0)</f>
        <v>4.067025708</v>
      </c>
      <c r="U44" s="14">
        <f>IFERROR(NORMINV(RAND(),'Passangers Analysis'!U40,'Passangers Analysis'!U40*0.2),0)</f>
        <v>5.079691668</v>
      </c>
      <c r="V44" s="14">
        <f>IFERROR(NORMINV(RAND(),'Passangers Analysis'!V40,'Passangers Analysis'!V40*0.2),0)</f>
        <v>4.843035918</v>
      </c>
      <c r="W44" s="14">
        <f>IFERROR(NORMINV(RAND(),'Passangers Analysis'!W40,'Passangers Analysis'!W40*0.2),0)</f>
        <v>4.128191385</v>
      </c>
      <c r="X44" s="10">
        <f t="shared" ref="X44:X64" si="5">SUMIFS(C44:W44,$C$41:$W$41,"&gt;"&amp;A44)</f>
        <v>118.272404</v>
      </c>
      <c r="Y44" s="11">
        <f>C65</f>
        <v>0</v>
      </c>
      <c r="Z44" s="10">
        <f>X44-Y44</f>
        <v>118.272404</v>
      </c>
      <c r="AA44" s="11">
        <f>Z44/Results!$C$14</f>
        <v>39.42413466</v>
      </c>
      <c r="AB44" s="8">
        <f>AA44/Results!$C$6</f>
        <v>0.7730222482</v>
      </c>
      <c r="AD44" s="10">
        <f t="shared" ref="AD44:AD64" si="6">SUMIFS(C44:W44,$C$41:$W$41,"&lt;"&amp;A44)</f>
        <v>0</v>
      </c>
      <c r="AE44" s="16">
        <f>C66</f>
        <v>127.5966287</v>
      </c>
      <c r="AF44" s="17">
        <f t="shared" ref="AF44:AF63" si="7">AF45+AD44-AE44</f>
        <v>0</v>
      </c>
      <c r="AG44" s="11">
        <f>AF44/Results!$C$14</f>
        <v>0</v>
      </c>
      <c r="AH44" s="8">
        <f>AG44/Results!$C$6</f>
        <v>0</v>
      </c>
    </row>
    <row r="45" ht="12.75" customHeight="1">
      <c r="A45" s="3">
        <v>2.0</v>
      </c>
      <c r="B45" s="2" t="s">
        <v>5</v>
      </c>
      <c r="C45" s="14">
        <f>IFERROR(NORMINV(RAND(),'Passangers Analysis'!C41,'Passangers Analysis'!C41*0.2),0)</f>
        <v>1.802802819</v>
      </c>
      <c r="D45" s="14">
        <f>IFERROR(NORMINV(RAND(),'Passangers Analysis'!D41,'Passangers Analysis'!D41*0.2),0)</f>
        <v>0</v>
      </c>
      <c r="E45" s="14">
        <f>IFERROR(NORMINV(RAND(),'Passangers Analysis'!E41,'Passangers Analysis'!E41*0.2),0)</f>
        <v>2.46217272</v>
      </c>
      <c r="F45" s="14">
        <f>IFERROR(NORMINV(RAND(),'Passangers Analysis'!F41,'Passangers Analysis'!F41*0.2),0)</f>
        <v>3.846471764</v>
      </c>
      <c r="G45" s="14">
        <f>IFERROR(NORMINV(RAND(),'Passangers Analysis'!G41,'Passangers Analysis'!G41*0.2),0)</f>
        <v>1.153700993</v>
      </c>
      <c r="H45" s="14">
        <f>IFERROR(NORMINV(RAND(),'Passangers Analysis'!H41,'Passangers Analysis'!H41*0.2),0)</f>
        <v>7.425311252</v>
      </c>
      <c r="I45" s="14">
        <f>IFERROR(NORMINV(RAND(),'Passangers Analysis'!I41,'Passangers Analysis'!I41*0.2),0)</f>
        <v>3.543632369</v>
      </c>
      <c r="J45" s="14">
        <f>IFERROR(NORMINV(RAND(),'Passangers Analysis'!J41,'Passangers Analysis'!J41*0.2),0)</f>
        <v>5.951083081</v>
      </c>
      <c r="K45" s="14">
        <f>IFERROR(NORMINV(RAND(),'Passangers Analysis'!K41,'Passangers Analysis'!K41*0.2),0)</f>
        <v>2.074521624</v>
      </c>
      <c r="L45" s="14">
        <f>IFERROR(NORMINV(RAND(),'Passangers Analysis'!L41,'Passangers Analysis'!L41*0.2),0)</f>
        <v>4.821302752</v>
      </c>
      <c r="M45" s="14">
        <f>IFERROR(NORMINV(RAND(),'Passangers Analysis'!M41,'Passangers Analysis'!M41*0.2),0)</f>
        <v>4.227063075</v>
      </c>
      <c r="N45" s="14">
        <f>IFERROR(NORMINV(RAND(),'Passangers Analysis'!N41,'Passangers Analysis'!N41*0.2),0)</f>
        <v>6.362501852</v>
      </c>
      <c r="O45" s="14">
        <f>IFERROR(NORMINV(RAND(),'Passangers Analysis'!O41,'Passangers Analysis'!O41*0.2),0)</f>
        <v>2.544840694</v>
      </c>
      <c r="P45" s="14">
        <f>IFERROR(NORMINV(RAND(),'Passangers Analysis'!P41,'Passangers Analysis'!P41*0.2),0)</f>
        <v>4.93693362</v>
      </c>
      <c r="Q45" s="14">
        <f>IFERROR(NORMINV(RAND(),'Passangers Analysis'!Q41,'Passangers Analysis'!Q41*0.2),0)</f>
        <v>1.267090174</v>
      </c>
      <c r="R45" s="14">
        <f>IFERROR(NORMINV(RAND(),'Passangers Analysis'!R41,'Passangers Analysis'!R41*0.2),0)</f>
        <v>7.124644385</v>
      </c>
      <c r="S45" s="14">
        <f>IFERROR(NORMINV(RAND(),'Passangers Analysis'!S41,'Passangers Analysis'!S41*0.2),0)</f>
        <v>4.861682758</v>
      </c>
      <c r="T45" s="14">
        <f>IFERROR(NORMINV(RAND(),'Passangers Analysis'!T41,'Passangers Analysis'!T41*0.2),0)</f>
        <v>2.940712814</v>
      </c>
      <c r="U45" s="14">
        <f>IFERROR(NORMINV(RAND(),'Passangers Analysis'!U41,'Passangers Analysis'!U41*0.2),0)</f>
        <v>2.752817343</v>
      </c>
      <c r="V45" s="14">
        <f>IFERROR(NORMINV(RAND(),'Passangers Analysis'!V41,'Passangers Analysis'!V41*0.2),0)</f>
        <v>1.988947109</v>
      </c>
      <c r="W45" s="14">
        <f>IFERROR(NORMINV(RAND(),'Passangers Analysis'!W41,'Passangers Analysis'!W41*0.2),0)</f>
        <v>2.255104256</v>
      </c>
      <c r="X45" s="10">
        <f t="shared" si="5"/>
        <v>72.54053464</v>
      </c>
      <c r="Y45" s="11">
        <f>D65</f>
        <v>2.791732342</v>
      </c>
      <c r="Z45" s="10">
        <f t="shared" ref="Z45:Z64" si="8">Z44+X45-Y45</f>
        <v>188.0212063</v>
      </c>
      <c r="AA45" s="11">
        <f>Z45/Results!$C$14</f>
        <v>62.67373542</v>
      </c>
      <c r="AB45" s="8">
        <f>AA45/Results!$C$6</f>
        <v>1.228896773</v>
      </c>
      <c r="AD45" s="10">
        <f t="shared" si="6"/>
        <v>1.802802819</v>
      </c>
      <c r="AE45" s="16">
        <f>D66</f>
        <v>63.35727105</v>
      </c>
      <c r="AF45" s="17">
        <f t="shared" si="7"/>
        <v>127.5966287</v>
      </c>
      <c r="AG45" s="11">
        <f>AF45/Results!$C$14</f>
        <v>42.53220955</v>
      </c>
      <c r="AH45" s="8">
        <f>AG45/Results!$C$6</f>
        <v>0.8339648932</v>
      </c>
    </row>
    <row r="46" ht="12.75" customHeight="1">
      <c r="A46" s="3">
        <v>3.0</v>
      </c>
      <c r="B46" s="2" t="s">
        <v>6</v>
      </c>
      <c r="C46" s="14">
        <f>IFERROR(NORMINV(RAND(),'Passangers Analysis'!C42,'Passangers Analysis'!C42*0.2),0)</f>
        <v>2.137838097</v>
      </c>
      <c r="D46" s="14">
        <f>IFERROR(NORMINV(RAND(),'Passangers Analysis'!D42,'Passangers Analysis'!D42*0.2),0)</f>
        <v>1.258172666</v>
      </c>
      <c r="E46" s="14">
        <f>IFERROR(NORMINV(RAND(),'Passangers Analysis'!E42,'Passangers Analysis'!E42*0.2),0)</f>
        <v>0</v>
      </c>
      <c r="F46" s="14">
        <f>IFERROR(NORMINV(RAND(),'Passangers Analysis'!F42,'Passangers Analysis'!F42*0.2),0)</f>
        <v>6.65161184</v>
      </c>
      <c r="G46" s="14">
        <f>IFERROR(NORMINV(RAND(),'Passangers Analysis'!G42,'Passangers Analysis'!G42*0.2),0)</f>
        <v>1.878964189</v>
      </c>
      <c r="H46" s="14">
        <f>IFERROR(NORMINV(RAND(),'Passangers Analysis'!H42,'Passangers Analysis'!H42*0.2),0)</f>
        <v>2.437750657</v>
      </c>
      <c r="I46" s="14">
        <f>IFERROR(NORMINV(RAND(),'Passangers Analysis'!I42,'Passangers Analysis'!I42*0.2),0)</f>
        <v>2.515062431</v>
      </c>
      <c r="J46" s="14">
        <f>IFERROR(NORMINV(RAND(),'Passangers Analysis'!J42,'Passangers Analysis'!J42*0.2),0)</f>
        <v>3.648361045</v>
      </c>
      <c r="K46" s="14">
        <f>IFERROR(NORMINV(RAND(),'Passangers Analysis'!K42,'Passangers Analysis'!K42*0.2),0)</f>
        <v>2.304299965</v>
      </c>
      <c r="L46" s="14">
        <f>IFERROR(NORMINV(RAND(),'Passangers Analysis'!L42,'Passangers Analysis'!L42*0.2),0)</f>
        <v>2.036362376</v>
      </c>
      <c r="M46" s="14">
        <f>IFERROR(NORMINV(RAND(),'Passangers Analysis'!M42,'Passangers Analysis'!M42*0.2),0)</f>
        <v>3.254085552</v>
      </c>
      <c r="N46" s="14">
        <f>IFERROR(NORMINV(RAND(),'Passangers Analysis'!N42,'Passangers Analysis'!N42*0.2),0)</f>
        <v>7.844368724</v>
      </c>
      <c r="O46" s="14">
        <f>IFERROR(NORMINV(RAND(),'Passangers Analysis'!O42,'Passangers Analysis'!O42*0.2),0)</f>
        <v>0</v>
      </c>
      <c r="P46" s="14">
        <f>IFERROR(NORMINV(RAND(),'Passangers Analysis'!P42,'Passangers Analysis'!P42*0.2),0)</f>
        <v>5.192813234</v>
      </c>
      <c r="Q46" s="14">
        <f>IFERROR(NORMINV(RAND(),'Passangers Analysis'!Q42,'Passangers Analysis'!Q42*0.2),0)</f>
        <v>1.274356892</v>
      </c>
      <c r="R46" s="14">
        <f>IFERROR(NORMINV(RAND(),'Passangers Analysis'!R42,'Passangers Analysis'!R42*0.2),0)</f>
        <v>2.553007094</v>
      </c>
      <c r="S46" s="14">
        <f>IFERROR(NORMINV(RAND(),'Passangers Analysis'!S42,'Passangers Analysis'!S42*0.2),0)</f>
        <v>4.682259963</v>
      </c>
      <c r="T46" s="14">
        <f>IFERROR(NORMINV(RAND(),'Passangers Analysis'!T42,'Passangers Analysis'!T42*0.2),0)</f>
        <v>1.057595317</v>
      </c>
      <c r="U46" s="14">
        <f>IFERROR(NORMINV(RAND(),'Passangers Analysis'!U42,'Passangers Analysis'!U42*0.2),0)</f>
        <v>1.480811486</v>
      </c>
      <c r="V46" s="14">
        <f>IFERROR(NORMINV(RAND(),'Passangers Analysis'!V42,'Passangers Analysis'!V42*0.2),0)</f>
        <v>2.136968934</v>
      </c>
      <c r="W46" s="14">
        <f>IFERROR(NORMINV(RAND(),'Passangers Analysis'!W42,'Passangers Analysis'!W42*0.2),0)</f>
        <v>1.213264829</v>
      </c>
      <c r="X46" s="10">
        <f t="shared" si="5"/>
        <v>52.16194453</v>
      </c>
      <c r="Y46" s="11">
        <f>E65</f>
        <v>3.400260684</v>
      </c>
      <c r="Z46" s="10">
        <f t="shared" si="8"/>
        <v>236.7828901</v>
      </c>
      <c r="AA46" s="11">
        <f>Z46/Results!$C$14</f>
        <v>78.92763004</v>
      </c>
      <c r="AB46" s="8">
        <f>AA46/Results!$C$6</f>
        <v>1.547600589</v>
      </c>
      <c r="AD46" s="10">
        <f t="shared" si="6"/>
        <v>3.396010762</v>
      </c>
      <c r="AE46" s="16">
        <f>E66</f>
        <v>50.14437023</v>
      </c>
      <c r="AF46" s="17">
        <f t="shared" si="7"/>
        <v>189.1510969</v>
      </c>
      <c r="AG46" s="11">
        <f>AF46/Results!$C$14</f>
        <v>63.05036563</v>
      </c>
      <c r="AH46" s="8">
        <f>AG46/Results!$C$6</f>
        <v>1.236281679</v>
      </c>
    </row>
    <row r="47" ht="12.75" customHeight="1">
      <c r="A47" s="3">
        <v>4.0</v>
      </c>
      <c r="B47" s="2" t="s">
        <v>7</v>
      </c>
      <c r="C47" s="14">
        <f>IFERROR(NORMINV(RAND(),'Passangers Analysis'!C43,'Passangers Analysis'!C43*0.2),0)</f>
        <v>7.852878184</v>
      </c>
      <c r="D47" s="14">
        <f>IFERROR(NORMINV(RAND(),'Passangers Analysis'!D43,'Passangers Analysis'!D43*0.2),0)</f>
        <v>6.444848483</v>
      </c>
      <c r="E47" s="14">
        <f>IFERROR(NORMINV(RAND(),'Passangers Analysis'!E43,'Passangers Analysis'!E43*0.2),0)</f>
        <v>5.178856601</v>
      </c>
      <c r="F47" s="14">
        <f>IFERROR(NORMINV(RAND(),'Passangers Analysis'!F43,'Passangers Analysis'!F43*0.2),0)</f>
        <v>0</v>
      </c>
      <c r="G47" s="14">
        <f>IFERROR(NORMINV(RAND(),'Passangers Analysis'!G43,'Passangers Analysis'!G43*0.2),0)</f>
        <v>5.954175548</v>
      </c>
      <c r="H47" s="14">
        <f>IFERROR(NORMINV(RAND(),'Passangers Analysis'!H43,'Passangers Analysis'!H43*0.2),0)</f>
        <v>29.14398642</v>
      </c>
      <c r="I47" s="14">
        <f>IFERROR(NORMINV(RAND(),'Passangers Analysis'!I43,'Passangers Analysis'!I43*0.2),0)</f>
        <v>11.19104554</v>
      </c>
      <c r="J47" s="14">
        <f>IFERROR(NORMINV(RAND(),'Passangers Analysis'!J43,'Passangers Analysis'!J43*0.2),0)</f>
        <v>36.86822969</v>
      </c>
      <c r="K47" s="14">
        <f>IFERROR(NORMINV(RAND(),'Passangers Analysis'!K43,'Passangers Analysis'!K43*0.2),0)</f>
        <v>5.961982648</v>
      </c>
      <c r="L47" s="14">
        <f>IFERROR(NORMINV(RAND(),'Passangers Analysis'!L43,'Passangers Analysis'!L43*0.2),0)</f>
        <v>14.02894937</v>
      </c>
      <c r="M47" s="14">
        <f>IFERROR(NORMINV(RAND(),'Passangers Analysis'!M43,'Passangers Analysis'!M43*0.2),0)</f>
        <v>33.98871576</v>
      </c>
      <c r="N47" s="14">
        <f>IFERROR(NORMINV(RAND(),'Passangers Analysis'!N43,'Passangers Analysis'!N43*0.2),0)</f>
        <v>64.12648195</v>
      </c>
      <c r="O47" s="14">
        <f>IFERROR(NORMINV(RAND(),'Passangers Analysis'!O43,'Passangers Analysis'!O43*0.2),0)</f>
        <v>12.86061442</v>
      </c>
      <c r="P47" s="14">
        <f>IFERROR(NORMINV(RAND(),'Passangers Analysis'!P43,'Passangers Analysis'!P43*0.2),0)</f>
        <v>44.55812974</v>
      </c>
      <c r="Q47" s="14">
        <f>IFERROR(NORMINV(RAND(),'Passangers Analysis'!Q43,'Passangers Analysis'!Q43*0.2),0)</f>
        <v>10.30624341</v>
      </c>
      <c r="R47" s="14">
        <f>IFERROR(NORMINV(RAND(),'Passangers Analysis'!R43,'Passangers Analysis'!R43*0.2),0)</f>
        <v>47.93922803</v>
      </c>
      <c r="S47" s="14">
        <f>IFERROR(NORMINV(RAND(),'Passangers Analysis'!S43,'Passangers Analysis'!S43*0.2),0)</f>
        <v>24.16645479</v>
      </c>
      <c r="T47" s="14">
        <f>IFERROR(NORMINV(RAND(),'Passangers Analysis'!T43,'Passangers Analysis'!T43*0.2),0)</f>
        <v>7.726415509</v>
      </c>
      <c r="U47" s="14">
        <f>IFERROR(NORMINV(RAND(),'Passangers Analysis'!U43,'Passangers Analysis'!U43*0.2),0)</f>
        <v>6.183798801</v>
      </c>
      <c r="V47" s="14">
        <f>IFERROR(NORMINV(RAND(),'Passangers Analysis'!V43,'Passangers Analysis'!V43*0.2),0)</f>
        <v>16.80935817</v>
      </c>
      <c r="W47" s="14">
        <f>IFERROR(NORMINV(RAND(),'Passangers Analysis'!W43,'Passangers Analysis'!W43*0.2),0)</f>
        <v>11.70971834</v>
      </c>
      <c r="X47" s="10">
        <f t="shared" si="5"/>
        <v>383.5235281</v>
      </c>
      <c r="Y47" s="11">
        <f>F65</f>
        <v>20.89594008</v>
      </c>
      <c r="Z47" s="10">
        <f t="shared" si="8"/>
        <v>599.4104781</v>
      </c>
      <c r="AA47" s="11">
        <f>Z47/Results!$C$14</f>
        <v>199.8034927</v>
      </c>
      <c r="AB47" s="8">
        <f>AA47/Results!$C$6</f>
        <v>3.917715543</v>
      </c>
      <c r="AD47" s="10">
        <f t="shared" si="6"/>
        <v>19.47658327</v>
      </c>
      <c r="AE47" s="16">
        <f>F66</f>
        <v>466.0008849</v>
      </c>
      <c r="AF47" s="17">
        <f t="shared" si="7"/>
        <v>235.8994564</v>
      </c>
      <c r="AG47" s="11">
        <f>AF47/Results!$C$14</f>
        <v>78.63315212</v>
      </c>
      <c r="AH47" s="8">
        <f>AG47/Results!$C$6</f>
        <v>1.541826512</v>
      </c>
    </row>
    <row r="48" ht="12.75" customHeight="1">
      <c r="A48" s="3">
        <v>5.0</v>
      </c>
      <c r="B48" s="2" t="s">
        <v>8</v>
      </c>
      <c r="C48" s="14">
        <f>IFERROR(NORMINV(RAND(),'Passangers Analysis'!C44,'Passangers Analysis'!C44*0.2),0)</f>
        <v>1.901962182</v>
      </c>
      <c r="D48" s="14">
        <f>IFERROR(NORMINV(RAND(),'Passangers Analysis'!D44,'Passangers Analysis'!D44*0.2),0)</f>
        <v>1.756046551</v>
      </c>
      <c r="E48" s="14">
        <f>IFERROR(NORMINV(RAND(),'Passangers Analysis'!E44,'Passangers Analysis'!E44*0.2),0)</f>
        <v>1.736469351</v>
      </c>
      <c r="F48" s="14">
        <f>IFERROR(NORMINV(RAND(),'Passangers Analysis'!F44,'Passangers Analysis'!F44*0.2),0)</f>
        <v>7.219707294</v>
      </c>
      <c r="G48" s="14">
        <f>IFERROR(NORMINV(RAND(),'Passangers Analysis'!G44,'Passangers Analysis'!G44*0.2),0)</f>
        <v>0</v>
      </c>
      <c r="H48" s="14">
        <f>IFERROR(NORMINV(RAND(),'Passangers Analysis'!H44,'Passangers Analysis'!H44*0.2),0)</f>
        <v>4.194510505</v>
      </c>
      <c r="I48" s="14">
        <f>IFERROR(NORMINV(RAND(),'Passangers Analysis'!I44,'Passangers Analysis'!I44*0.2),0)</f>
        <v>3.69096955</v>
      </c>
      <c r="J48" s="14">
        <f>IFERROR(NORMINV(RAND(),'Passangers Analysis'!J44,'Passangers Analysis'!J44*0.2),0)</f>
        <v>7.438567008</v>
      </c>
      <c r="K48" s="14">
        <f>IFERROR(NORMINV(RAND(),'Passangers Analysis'!K44,'Passangers Analysis'!K44*0.2),0)</f>
        <v>1.82409143</v>
      </c>
      <c r="L48" s="14">
        <f>IFERROR(NORMINV(RAND(),'Passangers Analysis'!L44,'Passangers Analysis'!L44*0.2),0)</f>
        <v>6.473571002</v>
      </c>
      <c r="M48" s="14">
        <f>IFERROR(NORMINV(RAND(),'Passangers Analysis'!M44,'Passangers Analysis'!M44*0.2),0)</f>
        <v>4.772410339</v>
      </c>
      <c r="N48" s="14">
        <f>IFERROR(NORMINV(RAND(),'Passangers Analysis'!N44,'Passangers Analysis'!N44*0.2),0)</f>
        <v>8.207054412</v>
      </c>
      <c r="O48" s="14">
        <f>IFERROR(NORMINV(RAND(),'Passangers Analysis'!O44,'Passangers Analysis'!O44*0.2),0)</f>
        <v>1.770751809</v>
      </c>
      <c r="P48" s="14">
        <f>IFERROR(NORMINV(RAND(),'Passangers Analysis'!P44,'Passangers Analysis'!P44*0.2),0)</f>
        <v>9.418541934</v>
      </c>
      <c r="Q48" s="14">
        <f>IFERROR(NORMINV(RAND(),'Passangers Analysis'!Q44,'Passangers Analysis'!Q44*0.2),0)</f>
        <v>0.9576859017</v>
      </c>
      <c r="R48" s="14">
        <f>IFERROR(NORMINV(RAND(),'Passangers Analysis'!R44,'Passangers Analysis'!R44*0.2),0)</f>
        <v>3.594215698</v>
      </c>
      <c r="S48" s="14">
        <f>IFERROR(NORMINV(RAND(),'Passangers Analysis'!S44,'Passangers Analysis'!S44*0.2),0)</f>
        <v>3.919473886</v>
      </c>
      <c r="T48" s="14">
        <f>IFERROR(NORMINV(RAND(),'Passangers Analysis'!T44,'Passangers Analysis'!T44*0.2),0)</f>
        <v>2.272404889</v>
      </c>
      <c r="U48" s="14">
        <f>IFERROR(NORMINV(RAND(),'Passangers Analysis'!U44,'Passangers Analysis'!U44*0.2),0)</f>
        <v>2.397663321</v>
      </c>
      <c r="V48" s="14">
        <f>IFERROR(NORMINV(RAND(),'Passangers Analysis'!V44,'Passangers Analysis'!V44*0.2),0)</f>
        <v>3.088398039</v>
      </c>
      <c r="W48" s="14">
        <f>IFERROR(NORMINV(RAND(),'Passangers Analysis'!W44,'Passangers Analysis'!W44*0.2),0)</f>
        <v>3.919876483</v>
      </c>
      <c r="X48" s="10">
        <f t="shared" si="5"/>
        <v>67.94018621</v>
      </c>
      <c r="Y48" s="11">
        <f>G65</f>
        <v>12.42534657</v>
      </c>
      <c r="Z48" s="10">
        <f t="shared" si="8"/>
        <v>654.9253178</v>
      </c>
      <c r="AA48" s="11">
        <f>Z48/Results!$C$14</f>
        <v>218.3084393</v>
      </c>
      <c r="AB48" s="8">
        <f>AA48/Results!$C$6</f>
        <v>4.280557633</v>
      </c>
      <c r="AD48" s="10">
        <f t="shared" si="6"/>
        <v>12.61418538</v>
      </c>
      <c r="AE48" s="16">
        <f>G66</f>
        <v>66.34123209</v>
      </c>
      <c r="AF48" s="17">
        <f t="shared" si="7"/>
        <v>682.423758</v>
      </c>
      <c r="AG48" s="11">
        <f>AF48/Results!$C$14</f>
        <v>227.474586</v>
      </c>
      <c r="AH48" s="8">
        <f>AG48/Results!$C$6</f>
        <v>4.460286</v>
      </c>
    </row>
    <row r="49" ht="12.75" customHeight="1">
      <c r="A49" s="3">
        <v>6.0</v>
      </c>
      <c r="B49" s="2" t="s">
        <v>9</v>
      </c>
      <c r="C49" s="14">
        <f>IFERROR(NORMINV(RAND(),'Passangers Analysis'!C45,'Passangers Analysis'!C45*0.2),0)</f>
        <v>11.61674179</v>
      </c>
      <c r="D49" s="14">
        <f>IFERROR(NORMINV(RAND(),'Passangers Analysis'!D45,'Passangers Analysis'!D45*0.2),0)</f>
        <v>4.917586733</v>
      </c>
      <c r="E49" s="14">
        <f>IFERROR(NORMINV(RAND(),'Passangers Analysis'!E45,'Passangers Analysis'!E45*0.2),0)</f>
        <v>3.226931996</v>
      </c>
      <c r="F49" s="14">
        <f>IFERROR(NORMINV(RAND(),'Passangers Analysis'!F45,'Passangers Analysis'!F45*0.2),0)</f>
        <v>46.79892708</v>
      </c>
      <c r="G49" s="14">
        <f>IFERROR(NORMINV(RAND(),'Passangers Analysis'!G45,'Passangers Analysis'!G45*0.2),0)</f>
        <v>7.743554697</v>
      </c>
      <c r="H49" s="14">
        <f>IFERROR(NORMINV(RAND(),'Passangers Analysis'!H45,'Passangers Analysis'!H45*0.2),0)</f>
        <v>0</v>
      </c>
      <c r="I49" s="14">
        <f>IFERROR(NORMINV(RAND(),'Passangers Analysis'!I45,'Passangers Analysis'!I45*0.2),0)</f>
        <v>19.68964569</v>
      </c>
      <c r="J49" s="14">
        <f>IFERROR(NORMINV(RAND(),'Passangers Analysis'!J45,'Passangers Analysis'!J45*0.2),0)</f>
        <v>28.787894</v>
      </c>
      <c r="K49" s="14">
        <f>IFERROR(NORMINV(RAND(),'Passangers Analysis'!K45,'Passangers Analysis'!K45*0.2),0)</f>
        <v>6.214792897</v>
      </c>
      <c r="L49" s="14">
        <f>IFERROR(NORMINV(RAND(),'Passangers Analysis'!L45,'Passangers Analysis'!L45*0.2),0)</f>
        <v>14.19753939</v>
      </c>
      <c r="M49" s="14">
        <f>IFERROR(NORMINV(RAND(),'Passangers Analysis'!M45,'Passangers Analysis'!M45*0.2),0)</f>
        <v>36.50178095</v>
      </c>
      <c r="N49" s="14">
        <f>IFERROR(NORMINV(RAND(),'Passangers Analysis'!N45,'Passangers Analysis'!N45*0.2),0)</f>
        <v>28.40447873</v>
      </c>
      <c r="O49" s="14">
        <f>IFERROR(NORMINV(RAND(),'Passangers Analysis'!O45,'Passangers Analysis'!O45*0.2),0)</f>
        <v>7.227263291</v>
      </c>
      <c r="P49" s="14">
        <f>IFERROR(NORMINV(RAND(),'Passangers Analysis'!P45,'Passangers Analysis'!P45*0.2),0)</f>
        <v>31.40442279</v>
      </c>
      <c r="Q49" s="14">
        <f>IFERROR(NORMINV(RAND(),'Passangers Analysis'!Q45,'Passangers Analysis'!Q45*0.2),0)</f>
        <v>6.677956188</v>
      </c>
      <c r="R49" s="14">
        <f>IFERROR(NORMINV(RAND(),'Passangers Analysis'!R45,'Passangers Analysis'!R45*0.2),0)</f>
        <v>89.7317163</v>
      </c>
      <c r="S49" s="14">
        <f>IFERROR(NORMINV(RAND(),'Passangers Analysis'!S45,'Passangers Analysis'!S45*0.2),0)</f>
        <v>14.672172</v>
      </c>
      <c r="T49" s="14">
        <f>IFERROR(NORMINV(RAND(),'Passangers Analysis'!T45,'Passangers Analysis'!T45*0.2),0)</f>
        <v>3.550647128</v>
      </c>
      <c r="U49" s="14">
        <f>IFERROR(NORMINV(RAND(),'Passangers Analysis'!U45,'Passangers Analysis'!U45*0.2),0)</f>
        <v>8.4923916</v>
      </c>
      <c r="V49" s="14">
        <f>IFERROR(NORMINV(RAND(),'Passangers Analysis'!V45,'Passangers Analysis'!V45*0.2),0)</f>
        <v>6.638027988</v>
      </c>
      <c r="W49" s="14">
        <f>IFERROR(NORMINV(RAND(),'Passangers Analysis'!W45,'Passangers Analysis'!W45*0.2),0)</f>
        <v>4.641052614</v>
      </c>
      <c r="X49" s="10">
        <f t="shared" si="5"/>
        <v>306.8317816</v>
      </c>
      <c r="Y49" s="11">
        <f>H65</f>
        <v>50.88874669</v>
      </c>
      <c r="Z49" s="10">
        <f t="shared" si="8"/>
        <v>910.8683527</v>
      </c>
      <c r="AA49" s="11">
        <f>Z49/Results!$C$14</f>
        <v>303.6227842</v>
      </c>
      <c r="AB49" s="8">
        <f>AA49/Results!$C$6</f>
        <v>5.953387926</v>
      </c>
      <c r="AD49" s="10">
        <f t="shared" si="6"/>
        <v>74.3037423</v>
      </c>
      <c r="AE49" s="16">
        <f>H66</f>
        <v>346.92643</v>
      </c>
      <c r="AF49" s="17">
        <f t="shared" si="7"/>
        <v>736.1508047</v>
      </c>
      <c r="AG49" s="11">
        <f>AF49/Results!$C$14</f>
        <v>245.3836016</v>
      </c>
      <c r="AH49" s="8">
        <f>AG49/Results!$C$6</f>
        <v>4.811443168</v>
      </c>
    </row>
    <row r="50" ht="12.75" customHeight="1">
      <c r="A50" s="3">
        <v>7.0</v>
      </c>
      <c r="B50" s="2" t="s">
        <v>10</v>
      </c>
      <c r="C50" s="14">
        <f>IFERROR(NORMINV(RAND(),'Passangers Analysis'!C46,'Passangers Analysis'!C46*0.2),0)</f>
        <v>10.51205309</v>
      </c>
      <c r="D50" s="14">
        <f>IFERROR(NORMINV(RAND(),'Passangers Analysis'!D46,'Passangers Analysis'!D46*0.2),0)</f>
        <v>3.574258848</v>
      </c>
      <c r="E50" s="14">
        <f>IFERROR(NORMINV(RAND(),'Passangers Analysis'!E46,'Passangers Analysis'!E46*0.2),0)</f>
        <v>1.062087428</v>
      </c>
      <c r="F50" s="14">
        <f>IFERROR(NORMINV(RAND(),'Passangers Analysis'!F46,'Passangers Analysis'!F46*0.2),0)</f>
        <v>17.91596119</v>
      </c>
      <c r="G50" s="14">
        <f>IFERROR(NORMINV(RAND(),'Passangers Analysis'!G46,'Passangers Analysis'!G46*0.2),0)</f>
        <v>2.068489934</v>
      </c>
      <c r="H50" s="14">
        <f>IFERROR(NORMINV(RAND(),'Passangers Analysis'!H46,'Passangers Analysis'!H46*0.2),0)</f>
        <v>11.07406325</v>
      </c>
      <c r="I50" s="14">
        <f>IFERROR(NORMINV(RAND(),'Passangers Analysis'!I46,'Passangers Analysis'!I46*0.2),0)</f>
        <v>0</v>
      </c>
      <c r="J50" s="14">
        <f>IFERROR(NORMINV(RAND(),'Passangers Analysis'!J46,'Passangers Analysis'!J46*0.2),0)</f>
        <v>10.23492485</v>
      </c>
      <c r="K50" s="14">
        <f>IFERROR(NORMINV(RAND(),'Passangers Analysis'!K46,'Passangers Analysis'!K46*0.2),0)</f>
        <v>0.7982270218</v>
      </c>
      <c r="L50" s="14">
        <f>IFERROR(NORMINV(RAND(),'Passangers Analysis'!L46,'Passangers Analysis'!L46*0.2),0)</f>
        <v>7.794633676</v>
      </c>
      <c r="M50" s="14">
        <f>IFERROR(NORMINV(RAND(),'Passangers Analysis'!M46,'Passangers Analysis'!M46*0.2),0)</f>
        <v>13.09847933</v>
      </c>
      <c r="N50" s="14">
        <f>IFERROR(NORMINV(RAND(),'Passangers Analysis'!N46,'Passangers Analysis'!N46*0.2),0)</f>
        <v>14.09514903</v>
      </c>
      <c r="O50" s="14">
        <f>IFERROR(NORMINV(RAND(),'Passangers Analysis'!O46,'Passangers Analysis'!O46*0.2),0)</f>
        <v>3.425260037</v>
      </c>
      <c r="P50" s="14">
        <f>IFERROR(NORMINV(RAND(),'Passangers Analysis'!P46,'Passangers Analysis'!P46*0.2),0)</f>
        <v>13.89189643</v>
      </c>
      <c r="Q50" s="14">
        <f>IFERROR(NORMINV(RAND(),'Passangers Analysis'!Q46,'Passangers Analysis'!Q46*0.2),0)</f>
        <v>3.942194203</v>
      </c>
      <c r="R50" s="14">
        <f>IFERROR(NORMINV(RAND(),'Passangers Analysis'!R46,'Passangers Analysis'!R46*0.2),0)</f>
        <v>13.06434371</v>
      </c>
      <c r="S50" s="14">
        <f>IFERROR(NORMINV(RAND(),'Passangers Analysis'!S46,'Passangers Analysis'!S46*0.2),0)</f>
        <v>8.108449853</v>
      </c>
      <c r="T50" s="14">
        <f>IFERROR(NORMINV(RAND(),'Passangers Analysis'!T46,'Passangers Analysis'!T46*0.2),0)</f>
        <v>4.479539304</v>
      </c>
      <c r="U50" s="14">
        <f>IFERROR(NORMINV(RAND(),'Passangers Analysis'!U46,'Passangers Analysis'!U46*0.2),0)</f>
        <v>4.351587558</v>
      </c>
      <c r="V50" s="14">
        <f>IFERROR(NORMINV(RAND(),'Passangers Analysis'!V46,'Passangers Analysis'!V46*0.2),0)</f>
        <v>6.336529438</v>
      </c>
      <c r="W50" s="14">
        <f>IFERROR(NORMINV(RAND(),'Passangers Analysis'!W46,'Passangers Analysis'!W46*0.2),0)</f>
        <v>6.419132279</v>
      </c>
      <c r="X50" s="10">
        <f t="shared" si="5"/>
        <v>110.0403467</v>
      </c>
      <c r="Y50" s="11">
        <f>I65</f>
        <v>45.19154528</v>
      </c>
      <c r="Z50" s="10">
        <f t="shared" si="8"/>
        <v>975.7171541</v>
      </c>
      <c r="AA50" s="11">
        <f>Z50/Results!$C$14</f>
        <v>325.2390514</v>
      </c>
      <c r="AB50" s="8">
        <f>AA50/Results!$C$6</f>
        <v>6.377236301</v>
      </c>
      <c r="AD50" s="10">
        <f t="shared" si="6"/>
        <v>46.20691374</v>
      </c>
      <c r="AE50" s="16">
        <f>I66</f>
        <v>124.7220574</v>
      </c>
      <c r="AF50" s="17">
        <f t="shared" si="7"/>
        <v>1008.773492</v>
      </c>
      <c r="AG50" s="11">
        <f>AF50/Results!$C$14</f>
        <v>336.2578308</v>
      </c>
      <c r="AH50" s="8">
        <f>AG50/Results!$C$6</f>
        <v>6.593290801</v>
      </c>
    </row>
    <row r="51" ht="12.75" customHeight="1">
      <c r="A51" s="3">
        <v>8.0</v>
      </c>
      <c r="B51" s="2" t="s">
        <v>11</v>
      </c>
      <c r="C51" s="14">
        <f>IFERROR(NORMINV(RAND(),'Passangers Analysis'!C47,'Passangers Analysis'!C47*0.2),0)</f>
        <v>11.35808759</v>
      </c>
      <c r="D51" s="14">
        <f>IFERROR(NORMINV(RAND(),'Passangers Analysis'!D47,'Passangers Analysis'!D47*0.2),0)</f>
        <v>4.121598679</v>
      </c>
      <c r="E51" s="14">
        <f>IFERROR(NORMINV(RAND(),'Passangers Analysis'!E47,'Passangers Analysis'!E47*0.2),0)</f>
        <v>2.299216105</v>
      </c>
      <c r="F51" s="14">
        <f>IFERROR(NORMINV(RAND(),'Passangers Analysis'!F47,'Passangers Analysis'!F47*0.2),0)</f>
        <v>31.10982892</v>
      </c>
      <c r="G51" s="14">
        <f>IFERROR(NORMINV(RAND(),'Passangers Analysis'!G47,'Passangers Analysis'!G47*0.2),0)</f>
        <v>5.532414203</v>
      </c>
      <c r="H51" s="14">
        <f>IFERROR(NORMINV(RAND(),'Passangers Analysis'!H47,'Passangers Analysis'!H47*0.2),0)</f>
        <v>34.89246209</v>
      </c>
      <c r="I51" s="14">
        <f>IFERROR(NORMINV(RAND(),'Passangers Analysis'!I47,'Passangers Analysis'!I47*0.2),0)</f>
        <v>8.785022449</v>
      </c>
      <c r="J51" s="14">
        <f>IFERROR(NORMINV(RAND(),'Passangers Analysis'!J47,'Passangers Analysis'!J47*0.2),0)</f>
        <v>0</v>
      </c>
      <c r="K51" s="14">
        <f>IFERROR(NORMINV(RAND(),'Passangers Analysis'!K47,'Passangers Analysis'!K47*0.2),0)</f>
        <v>4.537539834</v>
      </c>
      <c r="L51" s="14">
        <f>IFERROR(NORMINV(RAND(),'Passangers Analysis'!L47,'Passangers Analysis'!L47*0.2),0)</f>
        <v>8.606599045</v>
      </c>
      <c r="M51" s="14">
        <f>IFERROR(NORMINV(RAND(),'Passangers Analysis'!M47,'Passangers Analysis'!M47*0.2),0)</f>
        <v>20.42303565</v>
      </c>
      <c r="N51" s="14">
        <f>IFERROR(NORMINV(RAND(),'Passangers Analysis'!N47,'Passangers Analysis'!N47*0.2),0)</f>
        <v>23.96460966</v>
      </c>
      <c r="O51" s="14">
        <f>IFERROR(NORMINV(RAND(),'Passangers Analysis'!O47,'Passangers Analysis'!O47*0.2),0)</f>
        <v>2.19408526</v>
      </c>
      <c r="P51" s="14">
        <f>IFERROR(NORMINV(RAND(),'Passangers Analysis'!P47,'Passangers Analysis'!P47*0.2),0)</f>
        <v>23.26356139</v>
      </c>
      <c r="Q51" s="14">
        <f>IFERROR(NORMINV(RAND(),'Passangers Analysis'!Q47,'Passangers Analysis'!Q47*0.2),0)</f>
        <v>7.965972483</v>
      </c>
      <c r="R51" s="14">
        <f>IFERROR(NORMINV(RAND(),'Passangers Analysis'!R47,'Passangers Analysis'!R47*0.2),0)</f>
        <v>26.83576455</v>
      </c>
      <c r="S51" s="14">
        <f>IFERROR(NORMINV(RAND(),'Passangers Analysis'!S47,'Passangers Analysis'!S47*0.2),0)</f>
        <v>23.06142887</v>
      </c>
      <c r="T51" s="14">
        <f>IFERROR(NORMINV(RAND(),'Passangers Analysis'!T47,'Passangers Analysis'!T47*0.2),0)</f>
        <v>3.49373153</v>
      </c>
      <c r="U51" s="14">
        <f>IFERROR(NORMINV(RAND(),'Passangers Analysis'!U47,'Passangers Analysis'!U47*0.2),0)</f>
        <v>3.712158826</v>
      </c>
      <c r="V51" s="14">
        <f>IFERROR(NORMINV(RAND(),'Passangers Analysis'!V47,'Passangers Analysis'!V47*0.2),0)</f>
        <v>8.269987504</v>
      </c>
      <c r="W51" s="14">
        <f>IFERROR(NORMINV(RAND(),'Passangers Analysis'!W47,'Passangers Analysis'!W47*0.2),0)</f>
        <v>15.41369026</v>
      </c>
      <c r="X51" s="10">
        <f t="shared" si="5"/>
        <v>171.7421649</v>
      </c>
      <c r="Y51" s="11">
        <f>J65</f>
        <v>98.78787932</v>
      </c>
      <c r="Z51" s="10">
        <f t="shared" si="8"/>
        <v>1048.67144</v>
      </c>
      <c r="AA51" s="11">
        <f>Z51/Results!$C$14</f>
        <v>349.5571465</v>
      </c>
      <c r="AB51" s="8">
        <f>AA51/Results!$C$6</f>
        <v>6.854061697</v>
      </c>
      <c r="AD51" s="10">
        <f t="shared" si="6"/>
        <v>98.09863004</v>
      </c>
      <c r="AE51" s="16">
        <f>J66</f>
        <v>232.8554584</v>
      </c>
      <c r="AF51" s="17">
        <f t="shared" si="7"/>
        <v>1087.288636</v>
      </c>
      <c r="AG51" s="11">
        <f>AF51/Results!$C$14</f>
        <v>362.4295454</v>
      </c>
      <c r="AH51" s="8">
        <f>AG51/Results!$C$6</f>
        <v>7.106461674</v>
      </c>
    </row>
    <row r="52" ht="12.75" customHeight="1">
      <c r="A52" s="3">
        <v>9.0</v>
      </c>
      <c r="B52" s="2" t="s">
        <v>12</v>
      </c>
      <c r="C52" s="14">
        <f>IFERROR(NORMINV(RAND(),'Passangers Analysis'!C48,'Passangers Analysis'!C48*0.2),0)</f>
        <v>5.70208256</v>
      </c>
      <c r="D52" s="14">
        <f>IFERROR(NORMINV(RAND(),'Passangers Analysis'!D48,'Passangers Analysis'!D48*0.2),0)</f>
        <v>0.9111460366</v>
      </c>
      <c r="E52" s="14">
        <f>IFERROR(NORMINV(RAND(),'Passangers Analysis'!E48,'Passangers Analysis'!E48*0.2),0)</f>
        <v>0.6605332129</v>
      </c>
      <c r="F52" s="14">
        <f>IFERROR(NORMINV(RAND(),'Passangers Analysis'!F48,'Passangers Analysis'!F48*0.2),0)</f>
        <v>13.63231388</v>
      </c>
      <c r="G52" s="14">
        <f>IFERROR(NORMINV(RAND(),'Passangers Analysis'!G48,'Passangers Analysis'!G48*0.2),0)</f>
        <v>3.545281117</v>
      </c>
      <c r="H52" s="14">
        <f>IFERROR(NORMINV(RAND(),'Passangers Analysis'!H48,'Passangers Analysis'!H48*0.2),0)</f>
        <v>7.065884192</v>
      </c>
      <c r="I52" s="14">
        <f>IFERROR(NORMINV(RAND(),'Passangers Analysis'!I48,'Passangers Analysis'!I48*0.2),0)</f>
        <v>4.488857665</v>
      </c>
      <c r="J52" s="14">
        <f>IFERROR(NORMINV(RAND(),'Passangers Analysis'!J48,'Passangers Analysis'!J48*0.2),0)</f>
        <v>3.733487279</v>
      </c>
      <c r="K52" s="14">
        <f>IFERROR(NORMINV(RAND(),'Passangers Analysis'!K48,'Passangers Analysis'!K48*0.2),0)</f>
        <v>0</v>
      </c>
      <c r="L52" s="14">
        <f>IFERROR(NORMINV(RAND(),'Passangers Analysis'!L48,'Passangers Analysis'!L48*0.2),0)</f>
        <v>5.340635501</v>
      </c>
      <c r="M52" s="14">
        <f>IFERROR(NORMINV(RAND(),'Passangers Analysis'!M48,'Passangers Analysis'!M48*0.2),0)</f>
        <v>6.195068082</v>
      </c>
      <c r="N52" s="14">
        <f>IFERROR(NORMINV(RAND(),'Passangers Analysis'!N48,'Passangers Analysis'!N48*0.2),0)</f>
        <v>8.591319917</v>
      </c>
      <c r="O52" s="14">
        <f>IFERROR(NORMINV(RAND(),'Passangers Analysis'!O48,'Passangers Analysis'!O48*0.2),0)</f>
        <v>2.962955405</v>
      </c>
      <c r="P52" s="14">
        <f>IFERROR(NORMINV(RAND(),'Passangers Analysis'!P48,'Passangers Analysis'!P48*0.2),0)</f>
        <v>6.083383225</v>
      </c>
      <c r="Q52" s="14">
        <f>IFERROR(NORMINV(RAND(),'Passangers Analysis'!Q48,'Passangers Analysis'!Q48*0.2),0)</f>
        <v>0.8004742683</v>
      </c>
      <c r="R52" s="14">
        <f>IFERROR(NORMINV(RAND(),'Passangers Analysis'!R48,'Passangers Analysis'!R48*0.2),0)</f>
        <v>12.41309748</v>
      </c>
      <c r="S52" s="14">
        <f>IFERROR(NORMINV(RAND(),'Passangers Analysis'!S48,'Passangers Analysis'!S48*0.2),0)</f>
        <v>3.076261125</v>
      </c>
      <c r="T52" s="14">
        <f>IFERROR(NORMINV(RAND(),'Passangers Analysis'!T48,'Passangers Analysis'!T48*0.2),0)</f>
        <v>2.043468459</v>
      </c>
      <c r="U52" s="14">
        <f>IFERROR(NORMINV(RAND(),'Passangers Analysis'!U48,'Passangers Analysis'!U48*0.2),0)</f>
        <v>4.462804819</v>
      </c>
      <c r="V52" s="14">
        <f>IFERROR(NORMINV(RAND(),'Passangers Analysis'!V48,'Passangers Analysis'!V48*0.2),0)</f>
        <v>3.95036406</v>
      </c>
      <c r="W52" s="14">
        <f>IFERROR(NORMINV(RAND(),'Passangers Analysis'!W48,'Passangers Analysis'!W48*0.2),0)</f>
        <v>2.285977871</v>
      </c>
      <c r="X52" s="10">
        <f t="shared" si="5"/>
        <v>58.20581022</v>
      </c>
      <c r="Y52" s="11">
        <f>K65</f>
        <v>28.27666214</v>
      </c>
      <c r="Z52" s="10">
        <f t="shared" si="8"/>
        <v>1078.600588</v>
      </c>
      <c r="AA52" s="11">
        <f>Z52/Results!$C$14</f>
        <v>359.5335292</v>
      </c>
      <c r="AB52" s="8">
        <f>AA52/Results!$C$6</f>
        <v>7.049677044</v>
      </c>
      <c r="AD52" s="10">
        <f t="shared" si="6"/>
        <v>39.73958594</v>
      </c>
      <c r="AE52" s="16">
        <f>K66</f>
        <v>61.89494885</v>
      </c>
      <c r="AF52" s="17">
        <f t="shared" si="7"/>
        <v>1222.045465</v>
      </c>
      <c r="AG52" s="11">
        <f>AF52/Results!$C$14</f>
        <v>407.3484882</v>
      </c>
      <c r="AH52" s="8">
        <f>AG52/Results!$C$6</f>
        <v>7.987225258</v>
      </c>
    </row>
    <row r="53" ht="12.75" customHeight="1">
      <c r="A53" s="3">
        <v>10.0</v>
      </c>
      <c r="B53" s="2" t="s">
        <v>13</v>
      </c>
      <c r="C53" s="14">
        <f>IFERROR(NORMINV(RAND(),'Passangers Analysis'!C49,'Passangers Analysis'!C49*0.2),0)</f>
        <v>2.83779596</v>
      </c>
      <c r="D53" s="14">
        <f>IFERROR(NORMINV(RAND(),'Passangers Analysis'!D49,'Passangers Analysis'!D49*0.2),0)</f>
        <v>1.950438499</v>
      </c>
      <c r="E53" s="14">
        <f>IFERROR(NORMINV(RAND(),'Passangers Analysis'!E49,'Passangers Analysis'!E49*0.2),0)</f>
        <v>3.369378815</v>
      </c>
      <c r="F53" s="14">
        <f>IFERROR(NORMINV(RAND(),'Passangers Analysis'!F49,'Passangers Analysis'!F49*0.2),0)</f>
        <v>8.81644579</v>
      </c>
      <c r="G53" s="14">
        <f>IFERROR(NORMINV(RAND(),'Passangers Analysis'!G49,'Passangers Analysis'!G49*0.2),0)</f>
        <v>2.94739824</v>
      </c>
      <c r="H53" s="14">
        <f>IFERROR(NORMINV(RAND(),'Passangers Analysis'!H49,'Passangers Analysis'!H49*0.2),0)</f>
        <v>10.55730196</v>
      </c>
      <c r="I53" s="14">
        <f>IFERROR(NORMINV(RAND(),'Passangers Analysis'!I49,'Passangers Analysis'!I49*0.2),0)</f>
        <v>9.697974293</v>
      </c>
      <c r="J53" s="14">
        <f>IFERROR(NORMINV(RAND(),'Passangers Analysis'!J49,'Passangers Analysis'!J49*0.2),0)</f>
        <v>11.90354996</v>
      </c>
      <c r="K53" s="14">
        <f>IFERROR(NORMINV(RAND(),'Passangers Analysis'!K49,'Passangers Analysis'!K49*0.2),0)</f>
        <v>2.605782986</v>
      </c>
      <c r="L53" s="14">
        <f>IFERROR(NORMINV(RAND(),'Passangers Analysis'!L49,'Passangers Analysis'!L49*0.2),0)</f>
        <v>0</v>
      </c>
      <c r="M53" s="14">
        <f>IFERROR(NORMINV(RAND(),'Passangers Analysis'!M49,'Passangers Analysis'!M49*0.2),0)</f>
        <v>16.1692075</v>
      </c>
      <c r="N53" s="14">
        <f>IFERROR(NORMINV(RAND(),'Passangers Analysis'!N49,'Passangers Analysis'!N49*0.2),0)</f>
        <v>5.111411704</v>
      </c>
      <c r="O53" s="14">
        <f>IFERROR(NORMINV(RAND(),'Passangers Analysis'!O49,'Passangers Analysis'!O49*0.2),0)</f>
        <v>5.505816975</v>
      </c>
      <c r="P53" s="14">
        <f>IFERROR(NORMINV(RAND(),'Passangers Analysis'!P49,'Passangers Analysis'!P49*0.2),0)</f>
        <v>14.37691402</v>
      </c>
      <c r="Q53" s="14">
        <f>IFERROR(NORMINV(RAND(),'Passangers Analysis'!Q49,'Passangers Analysis'!Q49*0.2),0)</f>
        <v>1.849192984</v>
      </c>
      <c r="R53" s="14">
        <f>IFERROR(NORMINV(RAND(),'Passangers Analysis'!R49,'Passangers Analysis'!R49*0.2),0)</f>
        <v>11.01847292</v>
      </c>
      <c r="S53" s="14">
        <f>IFERROR(NORMINV(RAND(),'Passangers Analysis'!S49,'Passangers Analysis'!S49*0.2),0)</f>
        <v>6.309597521</v>
      </c>
      <c r="T53" s="14">
        <f>IFERROR(NORMINV(RAND(),'Passangers Analysis'!T49,'Passangers Analysis'!T49*0.2),0)</f>
        <v>2.860934169</v>
      </c>
      <c r="U53" s="14">
        <f>IFERROR(NORMINV(RAND(),'Passangers Analysis'!U49,'Passangers Analysis'!U49*0.2),0)</f>
        <v>3.6424273</v>
      </c>
      <c r="V53" s="14">
        <f>IFERROR(NORMINV(RAND(),'Passangers Analysis'!V49,'Passangers Analysis'!V49*0.2),0)</f>
        <v>7.467172024</v>
      </c>
      <c r="W53" s="14">
        <f>IFERROR(NORMINV(RAND(),'Passangers Analysis'!W49,'Passangers Analysis'!W49*0.2),0)</f>
        <v>4.325071452</v>
      </c>
      <c r="X53" s="10">
        <f t="shared" si="5"/>
        <v>78.63621856</v>
      </c>
      <c r="Y53" s="11">
        <f>L65</f>
        <v>67.74931597</v>
      </c>
      <c r="Z53" s="10">
        <f t="shared" si="8"/>
        <v>1089.48749</v>
      </c>
      <c r="AA53" s="11">
        <f>Z53/Results!$C$14</f>
        <v>363.1624968</v>
      </c>
      <c r="AB53" s="8">
        <f>AA53/Results!$C$6</f>
        <v>7.12083327</v>
      </c>
      <c r="AD53" s="10">
        <f t="shared" si="6"/>
        <v>54.68606651</v>
      </c>
      <c r="AE53" s="16">
        <f>L66</f>
        <v>112.1538935</v>
      </c>
      <c r="AF53" s="17">
        <f t="shared" si="7"/>
        <v>1244.200827</v>
      </c>
      <c r="AG53" s="11">
        <f>AF53/Results!$C$14</f>
        <v>414.7336091</v>
      </c>
      <c r="AH53" s="8">
        <f>AG53/Results!$C$6</f>
        <v>8.132031552</v>
      </c>
    </row>
    <row r="54" ht="12.75" customHeight="1">
      <c r="A54" s="3">
        <v>11.0</v>
      </c>
      <c r="B54" s="2" t="s">
        <v>14</v>
      </c>
      <c r="C54" s="14">
        <f>IFERROR(NORMINV(RAND(),'Passangers Analysis'!C50,'Passangers Analysis'!C50*0.2),0)</f>
        <v>1.996524073</v>
      </c>
      <c r="D54" s="14">
        <f>IFERROR(NORMINV(RAND(),'Passangers Analysis'!D50,'Passangers Analysis'!D50*0.2),0)</f>
        <v>5.239994411</v>
      </c>
      <c r="E54" s="14">
        <f>IFERROR(NORMINV(RAND(),'Passangers Analysis'!E50,'Passangers Analysis'!E50*0.2),0)</f>
        <v>8.485477961</v>
      </c>
      <c r="F54" s="14">
        <f>IFERROR(NORMINV(RAND(),'Passangers Analysis'!F50,'Passangers Analysis'!F50*0.2),0)</f>
        <v>70.18354306</v>
      </c>
      <c r="G54" s="14">
        <f>IFERROR(NORMINV(RAND(),'Passangers Analysis'!G50,'Passangers Analysis'!G50*0.2),0)</f>
        <v>5.093219239</v>
      </c>
      <c r="H54" s="14">
        <f>IFERROR(NORMINV(RAND(),'Passangers Analysis'!H50,'Passangers Analysis'!H50*0.2),0)</f>
        <v>69.09907397</v>
      </c>
      <c r="I54" s="14">
        <f>IFERROR(NORMINV(RAND(),'Passangers Analysis'!I50,'Passangers Analysis'!I50*0.2),0)</f>
        <v>19.43682088</v>
      </c>
      <c r="J54" s="14">
        <f>IFERROR(NORMINV(RAND(),'Passangers Analysis'!J50,'Passangers Analysis'!J50*0.2),0)</f>
        <v>37.67229554</v>
      </c>
      <c r="K54" s="14">
        <f>IFERROR(NORMINV(RAND(),'Passangers Analysis'!K50,'Passangers Analysis'!K50*0.2),0)</f>
        <v>8.733394982</v>
      </c>
      <c r="L54" s="14">
        <f>IFERROR(NORMINV(RAND(),'Passangers Analysis'!L50,'Passangers Analysis'!L50*0.2),0)</f>
        <v>14.39420222</v>
      </c>
      <c r="M54" s="14">
        <f>IFERROR(NORMINV(RAND(),'Passangers Analysis'!M50,'Passangers Analysis'!M50*0.2),0)</f>
        <v>0</v>
      </c>
      <c r="N54" s="14">
        <f>IFERROR(NORMINV(RAND(),'Passangers Analysis'!N50,'Passangers Analysis'!N50*0.2),0)</f>
        <v>41.13582244</v>
      </c>
      <c r="O54" s="14">
        <f>IFERROR(NORMINV(RAND(),'Passangers Analysis'!O50,'Passangers Analysis'!O50*0.2),0)</f>
        <v>7.149177516</v>
      </c>
      <c r="P54" s="14">
        <f>IFERROR(NORMINV(RAND(),'Passangers Analysis'!P50,'Passangers Analysis'!P50*0.2),0)</f>
        <v>51.00833018</v>
      </c>
      <c r="Q54" s="14">
        <f>IFERROR(NORMINV(RAND(),'Passangers Analysis'!Q50,'Passangers Analysis'!Q50*0.2),0)</f>
        <v>8.511065349</v>
      </c>
      <c r="R54" s="14">
        <f>IFERROR(NORMINV(RAND(),'Passangers Analysis'!R50,'Passangers Analysis'!R50*0.2),0)</f>
        <v>80.42610831</v>
      </c>
      <c r="S54" s="14">
        <f>IFERROR(NORMINV(RAND(),'Passangers Analysis'!S50,'Passangers Analysis'!S50*0.2),0)</f>
        <v>29.24641016</v>
      </c>
      <c r="T54" s="14">
        <f>IFERROR(NORMINV(RAND(),'Passangers Analysis'!T50,'Passangers Analysis'!T50*0.2),0)</f>
        <v>9.256848447</v>
      </c>
      <c r="U54" s="14">
        <f>IFERROR(NORMINV(RAND(),'Passangers Analysis'!U50,'Passangers Analysis'!U50*0.2),0)</f>
        <v>4.64116993</v>
      </c>
      <c r="V54" s="14">
        <f>IFERROR(NORMINV(RAND(),'Passangers Analysis'!V50,'Passangers Analysis'!V50*0.2),0)</f>
        <v>9.689969954</v>
      </c>
      <c r="W54" s="14">
        <f>IFERROR(NORMINV(RAND(),'Passangers Analysis'!W50,'Passangers Analysis'!W50*0.2),0)</f>
        <v>12.89000913</v>
      </c>
      <c r="X54" s="10">
        <f t="shared" si="5"/>
        <v>253.9549114</v>
      </c>
      <c r="Y54" s="11">
        <f>M65</f>
        <v>148.4192611</v>
      </c>
      <c r="Z54" s="10">
        <f t="shared" si="8"/>
        <v>1195.023141</v>
      </c>
      <c r="AA54" s="11">
        <f>Z54/Results!$C$14</f>
        <v>398.3410469</v>
      </c>
      <c r="AB54" s="8">
        <f>AA54/Results!$C$6</f>
        <v>7.810608762</v>
      </c>
      <c r="AD54" s="10">
        <f t="shared" si="6"/>
        <v>240.3345463</v>
      </c>
      <c r="AE54" s="16">
        <f>M66</f>
        <v>194.7196945</v>
      </c>
      <c r="AF54" s="17">
        <f t="shared" si="7"/>
        <v>1301.668654</v>
      </c>
      <c r="AG54" s="11">
        <f>AF54/Results!$C$14</f>
        <v>433.8895515</v>
      </c>
      <c r="AH54" s="8">
        <f>AG54/Results!$C$6</f>
        <v>8.507638264</v>
      </c>
    </row>
    <row r="55" ht="12.75" customHeight="1">
      <c r="A55" s="3">
        <v>12.0</v>
      </c>
      <c r="B55" s="2" t="s">
        <v>15</v>
      </c>
      <c r="C55" s="14">
        <f>IFERROR(NORMINV(RAND(),'Passangers Analysis'!C51,'Passangers Analysis'!C51*0.2),0)</f>
        <v>15.53181938</v>
      </c>
      <c r="D55" s="14">
        <f>IFERROR(NORMINV(RAND(),'Passangers Analysis'!D51,'Passangers Analysis'!D51*0.2),0)</f>
        <v>5.327890969</v>
      </c>
      <c r="E55" s="14">
        <f>IFERROR(NORMINV(RAND(),'Passangers Analysis'!E51,'Passangers Analysis'!E51*0.2),0)</f>
        <v>5.513641605</v>
      </c>
      <c r="F55" s="14">
        <f>IFERROR(NORMINV(RAND(),'Passangers Analysis'!F51,'Passangers Analysis'!F51*0.2),0)</f>
        <v>97.42005456</v>
      </c>
      <c r="G55" s="14">
        <f>IFERROR(NORMINV(RAND(),'Passangers Analysis'!G51,'Passangers Analysis'!G51*0.2),0)</f>
        <v>2.954359558</v>
      </c>
      <c r="H55" s="14">
        <f>IFERROR(NORMINV(RAND(),'Passangers Analysis'!H51,'Passangers Analysis'!H51*0.2),0)</f>
        <v>52.81208035</v>
      </c>
      <c r="I55" s="14">
        <f>IFERROR(NORMINV(RAND(),'Passangers Analysis'!I51,'Passangers Analysis'!I51*0.2),0)</f>
        <v>24.24966514</v>
      </c>
      <c r="J55" s="14">
        <f>IFERROR(NORMINV(RAND(),'Passangers Analysis'!J51,'Passangers Analysis'!J51*0.2),0)</f>
        <v>29.21650841</v>
      </c>
      <c r="K55" s="14">
        <f>IFERROR(NORMINV(RAND(),'Passangers Analysis'!K51,'Passangers Analysis'!K51*0.2),0)</f>
        <v>9.206674434</v>
      </c>
      <c r="L55" s="14">
        <f>IFERROR(NORMINV(RAND(),'Passangers Analysis'!L51,'Passangers Analysis'!L51*0.2),0)</f>
        <v>19.67616025</v>
      </c>
      <c r="M55" s="14">
        <f>IFERROR(NORMINV(RAND(),'Passangers Analysis'!M51,'Passangers Analysis'!M51*0.2),0)</f>
        <v>38.03441588</v>
      </c>
      <c r="N55" s="14">
        <f>IFERROR(NORMINV(RAND(),'Passangers Analysis'!N51,'Passangers Analysis'!N51*0.2),0)</f>
        <v>0</v>
      </c>
      <c r="O55" s="14">
        <f>IFERROR(NORMINV(RAND(),'Passangers Analysis'!O51,'Passangers Analysis'!O51*0.2),0)</f>
        <v>14.00704527</v>
      </c>
      <c r="P55" s="14">
        <f>IFERROR(NORMINV(RAND(),'Passangers Analysis'!P51,'Passangers Analysis'!P51*0.2),0)</f>
        <v>20.58225147</v>
      </c>
      <c r="Q55" s="14">
        <f>IFERROR(NORMINV(RAND(),'Passangers Analysis'!Q51,'Passangers Analysis'!Q51*0.2),0)</f>
        <v>8.144964994</v>
      </c>
      <c r="R55" s="14">
        <f>IFERROR(NORMINV(RAND(),'Passangers Analysis'!R51,'Passangers Analysis'!R51*0.2),0)</f>
        <v>17.97545429</v>
      </c>
      <c r="S55" s="14">
        <f>IFERROR(NORMINV(RAND(),'Passangers Analysis'!S51,'Passangers Analysis'!S51*0.2),0)</f>
        <v>14.2319232</v>
      </c>
      <c r="T55" s="14">
        <f>IFERROR(NORMINV(RAND(),'Passangers Analysis'!T51,'Passangers Analysis'!T51*0.2),0)</f>
        <v>9.328414752</v>
      </c>
      <c r="U55" s="14">
        <f>IFERROR(NORMINV(RAND(),'Passangers Analysis'!U51,'Passangers Analysis'!U51*0.2),0)</f>
        <v>10.39851061</v>
      </c>
      <c r="V55" s="14">
        <f>IFERROR(NORMINV(RAND(),'Passangers Analysis'!V51,'Passangers Analysis'!V51*0.2),0)</f>
        <v>12.13946812</v>
      </c>
      <c r="W55" s="14">
        <f>IFERROR(NORMINV(RAND(),'Passangers Analysis'!W51,'Passangers Analysis'!W51*0.2),0)</f>
        <v>6.707691376</v>
      </c>
      <c r="X55" s="10">
        <f t="shared" si="5"/>
        <v>113.5157241</v>
      </c>
      <c r="Y55" s="11">
        <f>N65</f>
        <v>222.9957096</v>
      </c>
      <c r="Z55" s="10">
        <f t="shared" si="8"/>
        <v>1085.543155</v>
      </c>
      <c r="AA55" s="11">
        <f>Z55/Results!$C$14</f>
        <v>361.8477184</v>
      </c>
      <c r="AB55" s="8">
        <f>AA55/Results!$C$6</f>
        <v>7.095053301</v>
      </c>
      <c r="AD55" s="10">
        <f t="shared" si="6"/>
        <v>299.9432705</v>
      </c>
      <c r="AE55" s="16">
        <f>N66</f>
        <v>165.4022164</v>
      </c>
      <c r="AF55" s="17">
        <f t="shared" si="7"/>
        <v>1256.053803</v>
      </c>
      <c r="AG55" s="11">
        <f>AF55/Results!$C$14</f>
        <v>418.6846009</v>
      </c>
      <c r="AH55" s="8">
        <f>AG55/Results!$C$6</f>
        <v>8.209501978</v>
      </c>
    </row>
    <row r="56" ht="12.75" customHeight="1">
      <c r="A56" s="3">
        <v>13.0</v>
      </c>
      <c r="B56" s="2" t="s">
        <v>16</v>
      </c>
      <c r="C56" s="14">
        <f>IFERROR(NORMINV(RAND(),'Passangers Analysis'!C52,'Passangers Analysis'!C52*0.2),0)</f>
        <v>3.136091107</v>
      </c>
      <c r="D56" s="14">
        <f>IFERROR(NORMINV(RAND(),'Passangers Analysis'!D52,'Passangers Analysis'!D52*0.2),0)</f>
        <v>2.791419036</v>
      </c>
      <c r="E56" s="14">
        <f>IFERROR(NORMINV(RAND(),'Passangers Analysis'!E52,'Passangers Analysis'!E52*0.2),0)</f>
        <v>0</v>
      </c>
      <c r="F56" s="14">
        <f>IFERROR(NORMINV(RAND(),'Passangers Analysis'!F52,'Passangers Analysis'!F52*0.2),0)</f>
        <v>16.19997587</v>
      </c>
      <c r="G56" s="14">
        <f>IFERROR(NORMINV(RAND(),'Passangers Analysis'!G52,'Passangers Analysis'!G52*0.2),0)</f>
        <v>2.808242227</v>
      </c>
      <c r="H56" s="14">
        <f>IFERROR(NORMINV(RAND(),'Passangers Analysis'!H52,'Passangers Analysis'!H52*0.2),0)</f>
        <v>14.77201277</v>
      </c>
      <c r="I56" s="14">
        <f>IFERROR(NORMINV(RAND(),'Passangers Analysis'!I52,'Passangers Analysis'!I52*0.2),0)</f>
        <v>3.105173246</v>
      </c>
      <c r="J56" s="14">
        <f>IFERROR(NORMINV(RAND(),'Passangers Analysis'!J52,'Passangers Analysis'!J52*0.2),0)</f>
        <v>9.985307357</v>
      </c>
      <c r="K56" s="14">
        <f>IFERROR(NORMINV(RAND(),'Passangers Analysis'!K52,'Passangers Analysis'!K52*0.2),0)</f>
        <v>3.222884363</v>
      </c>
      <c r="L56" s="14">
        <f>IFERROR(NORMINV(RAND(),'Passangers Analysis'!L52,'Passangers Analysis'!L52*0.2),0)</f>
        <v>7.523868069</v>
      </c>
      <c r="M56" s="14">
        <f>IFERROR(NORMINV(RAND(),'Passangers Analysis'!M52,'Passangers Analysis'!M52*0.2),0)</f>
        <v>15.77118647</v>
      </c>
      <c r="N56" s="14">
        <f>IFERROR(NORMINV(RAND(),'Passangers Analysis'!N52,'Passangers Analysis'!N52*0.2),0)</f>
        <v>3.860921704</v>
      </c>
      <c r="O56" s="14">
        <f>IFERROR(NORMINV(RAND(),'Passangers Analysis'!O52,'Passangers Analysis'!O52*0.2),0)</f>
        <v>0</v>
      </c>
      <c r="P56" s="14">
        <f>IFERROR(NORMINV(RAND(),'Passangers Analysis'!P52,'Passangers Analysis'!P52*0.2),0)</f>
        <v>3.899310118</v>
      </c>
      <c r="Q56" s="14">
        <f>IFERROR(NORMINV(RAND(),'Passangers Analysis'!Q52,'Passangers Analysis'!Q52*0.2),0)</f>
        <v>4.820086082</v>
      </c>
      <c r="R56" s="14">
        <f>IFERROR(NORMINV(RAND(),'Passangers Analysis'!R52,'Passangers Analysis'!R52*0.2),0)</f>
        <v>8.800951478</v>
      </c>
      <c r="S56" s="14">
        <f>IFERROR(NORMINV(RAND(),'Passangers Analysis'!S52,'Passangers Analysis'!S52*0.2),0)</f>
        <v>4.594090951</v>
      </c>
      <c r="T56" s="14">
        <f>IFERROR(NORMINV(RAND(),'Passangers Analysis'!T52,'Passangers Analysis'!T52*0.2),0)</f>
        <v>1.812285743</v>
      </c>
      <c r="U56" s="14">
        <f>IFERROR(NORMINV(RAND(),'Passangers Analysis'!U52,'Passangers Analysis'!U52*0.2),0)</f>
        <v>5.113647909</v>
      </c>
      <c r="V56" s="14">
        <f>IFERROR(NORMINV(RAND(),'Passangers Analysis'!V52,'Passangers Analysis'!V52*0.2),0)</f>
        <v>4.045317093</v>
      </c>
      <c r="W56" s="14">
        <f>IFERROR(NORMINV(RAND(),'Passangers Analysis'!W52,'Passangers Analysis'!W52*0.2),0)</f>
        <v>6.679549943</v>
      </c>
      <c r="X56" s="10">
        <f t="shared" si="5"/>
        <v>39.76523932</v>
      </c>
      <c r="Y56" s="11">
        <f>O65</f>
        <v>65.70185359</v>
      </c>
      <c r="Z56" s="10">
        <f t="shared" si="8"/>
        <v>1059.606541</v>
      </c>
      <c r="AA56" s="11">
        <f>Z56/Results!$C$14</f>
        <v>353.2021803</v>
      </c>
      <c r="AB56" s="8">
        <f>AA56/Results!$C$6</f>
        <v>6.925532947</v>
      </c>
      <c r="AD56" s="10">
        <f t="shared" si="6"/>
        <v>83.17708222</v>
      </c>
      <c r="AE56" s="16">
        <f>O66</f>
        <v>50.98299236</v>
      </c>
      <c r="AF56" s="17">
        <f t="shared" si="7"/>
        <v>1121.512748</v>
      </c>
      <c r="AG56" s="11">
        <f>AF56/Results!$C$14</f>
        <v>373.8375828</v>
      </c>
      <c r="AH56" s="8">
        <f>AG56/Results!$C$6</f>
        <v>7.330148683</v>
      </c>
    </row>
    <row r="57" ht="12.75" customHeight="1">
      <c r="A57" s="3">
        <v>14.0</v>
      </c>
      <c r="B57" s="2" t="s">
        <v>17</v>
      </c>
      <c r="C57" s="14">
        <f>IFERROR(NORMINV(RAND(),'Passangers Analysis'!C53,'Passangers Analysis'!C53*0.2),0)</f>
        <v>16.4656732</v>
      </c>
      <c r="D57" s="14">
        <f>IFERROR(NORMINV(RAND(),'Passangers Analysis'!D53,'Passangers Analysis'!D53*0.2),0)</f>
        <v>5.756356198</v>
      </c>
      <c r="E57" s="14">
        <f>IFERROR(NORMINV(RAND(),'Passangers Analysis'!E53,'Passangers Analysis'!E53*0.2),0)</f>
        <v>3.355811645</v>
      </c>
      <c r="F57" s="14">
        <f>IFERROR(NORMINV(RAND(),'Passangers Analysis'!F53,'Passangers Analysis'!F53*0.2),0)</f>
        <v>53.4528472</v>
      </c>
      <c r="G57" s="14">
        <f>IFERROR(NORMINV(RAND(),'Passangers Analysis'!G53,'Passangers Analysis'!G53*0.2),0)</f>
        <v>5.095158995</v>
      </c>
      <c r="H57" s="14">
        <f>IFERROR(NORMINV(RAND(),'Passangers Analysis'!H53,'Passangers Analysis'!H53*0.2),0)</f>
        <v>34.00610941</v>
      </c>
      <c r="I57" s="14">
        <f>IFERROR(NORMINV(RAND(),'Passangers Analysis'!I53,'Passangers Analysis'!I53*0.2),0)</f>
        <v>7.918821781</v>
      </c>
      <c r="J57" s="14">
        <f>IFERROR(NORMINV(RAND(),'Passangers Analysis'!J53,'Passangers Analysis'!J53*0.2),0)</f>
        <v>42.24812614</v>
      </c>
      <c r="K57" s="14">
        <f>IFERROR(NORMINV(RAND(),'Passangers Analysis'!K53,'Passangers Analysis'!K53*0.2),0)</f>
        <v>9.029570801</v>
      </c>
      <c r="L57" s="14">
        <f>IFERROR(NORMINV(RAND(),'Passangers Analysis'!L53,'Passangers Analysis'!L53*0.2),0)</f>
        <v>11.52166125</v>
      </c>
      <c r="M57" s="14">
        <f>IFERROR(NORMINV(RAND(),'Passangers Analysis'!M53,'Passangers Analysis'!M53*0.2),0)</f>
        <v>7.942404774</v>
      </c>
      <c r="N57" s="14">
        <f>IFERROR(NORMINV(RAND(),'Passangers Analysis'!N53,'Passangers Analysis'!N53*0.2),0)</f>
        <v>34.62429749</v>
      </c>
      <c r="O57" s="14">
        <f>IFERROR(NORMINV(RAND(),'Passangers Analysis'!O53,'Passangers Analysis'!O53*0.2),0)</f>
        <v>9.489111579</v>
      </c>
      <c r="P57" s="14">
        <f>IFERROR(NORMINV(RAND(),'Passangers Analysis'!P53,'Passangers Analysis'!P53*0.2),0)</f>
        <v>0</v>
      </c>
      <c r="Q57" s="14">
        <f>IFERROR(NORMINV(RAND(),'Passangers Analysis'!Q53,'Passangers Analysis'!Q53*0.2),0)</f>
        <v>10.22092684</v>
      </c>
      <c r="R57" s="14">
        <f>IFERROR(NORMINV(RAND(),'Passangers Analysis'!R53,'Passangers Analysis'!R53*0.2),0)</f>
        <v>31.02335446</v>
      </c>
      <c r="S57" s="14">
        <f>IFERROR(NORMINV(RAND(),'Passangers Analysis'!S53,'Passangers Analysis'!S53*0.2),0)</f>
        <v>28.93992041</v>
      </c>
      <c r="T57" s="14">
        <f>IFERROR(NORMINV(RAND(),'Passangers Analysis'!T53,'Passangers Analysis'!T53*0.2),0)</f>
        <v>2.101642378</v>
      </c>
      <c r="U57" s="14">
        <f>IFERROR(NORMINV(RAND(),'Passangers Analysis'!U53,'Passangers Analysis'!U53*0.2),0)</f>
        <v>8.076820477</v>
      </c>
      <c r="V57" s="14">
        <f>IFERROR(NORMINV(RAND(),'Passangers Analysis'!V53,'Passangers Analysis'!V53*0.2),0)</f>
        <v>5.853399207</v>
      </c>
      <c r="W57" s="14">
        <f>IFERROR(NORMINV(RAND(),'Passangers Analysis'!W53,'Passangers Analysis'!W53*0.2),0)</f>
        <v>10.39861328</v>
      </c>
      <c r="X57" s="10">
        <f t="shared" si="5"/>
        <v>96.61467705</v>
      </c>
      <c r="Y57" s="11">
        <f>P65</f>
        <v>236.7332159</v>
      </c>
      <c r="Z57" s="10">
        <f t="shared" si="8"/>
        <v>919.488002</v>
      </c>
      <c r="AA57" s="11">
        <f>Z57/Results!$C$14</f>
        <v>306.4960007</v>
      </c>
      <c r="AB57" s="8">
        <f>AA57/Results!$C$6</f>
        <v>6.009725503</v>
      </c>
      <c r="AD57" s="10">
        <f t="shared" si="6"/>
        <v>240.9059505</v>
      </c>
      <c r="AE57" s="16">
        <f>P66</f>
        <v>118.7194431</v>
      </c>
      <c r="AF57" s="17">
        <f t="shared" si="7"/>
        <v>1089.318659</v>
      </c>
      <c r="AG57" s="11">
        <f>AF57/Results!$C$14</f>
        <v>363.1062195</v>
      </c>
      <c r="AH57" s="8">
        <f>AG57/Results!$C$6</f>
        <v>7.119729795</v>
      </c>
    </row>
    <row r="58" ht="12.75" customHeight="1">
      <c r="A58" s="3">
        <v>15.0</v>
      </c>
      <c r="B58" s="2" t="s">
        <v>18</v>
      </c>
      <c r="C58" s="14">
        <f>IFERROR(NORMINV(RAND(),'Passangers Analysis'!C54,'Passangers Analysis'!C54*0.2),0)</f>
        <v>0</v>
      </c>
      <c r="D58" s="14">
        <f>IFERROR(NORMINV(RAND(),'Passangers Analysis'!D54,'Passangers Analysis'!D54*0.2),0)</f>
        <v>2.534309586</v>
      </c>
      <c r="E58" s="14">
        <f>IFERROR(NORMINV(RAND(),'Passangers Analysis'!E54,'Passangers Analysis'!E54*0.2),0)</f>
        <v>2.086940556</v>
      </c>
      <c r="F58" s="14">
        <f>IFERROR(NORMINV(RAND(),'Passangers Analysis'!F54,'Passangers Analysis'!F54*0.2),0)</f>
        <v>10.12579266</v>
      </c>
      <c r="G58" s="14">
        <f>IFERROR(NORMINV(RAND(),'Passangers Analysis'!G54,'Passangers Analysis'!G54*0.2),0)</f>
        <v>3.10505191</v>
      </c>
      <c r="H58" s="14">
        <f>IFERROR(NORMINV(RAND(),'Passangers Analysis'!H54,'Passangers Analysis'!H54*0.2),0)</f>
        <v>3.055527848</v>
      </c>
      <c r="I58" s="14">
        <f>IFERROR(NORMINV(RAND(),'Passangers Analysis'!I54,'Passangers Analysis'!I54*0.2),0)</f>
        <v>2.531712053</v>
      </c>
      <c r="J58" s="14">
        <f>IFERROR(NORMINV(RAND(),'Passangers Analysis'!J54,'Passangers Analysis'!J54*0.2),0)</f>
        <v>4.504511172</v>
      </c>
      <c r="K58" s="14">
        <f>IFERROR(NORMINV(RAND(),'Passangers Analysis'!K54,'Passangers Analysis'!K54*0.2),0)</f>
        <v>3.401331844</v>
      </c>
      <c r="L58" s="14">
        <f>IFERROR(NORMINV(RAND(),'Passangers Analysis'!L54,'Passangers Analysis'!L54*0.2),0)</f>
        <v>2.248616844</v>
      </c>
      <c r="M58" s="14">
        <f>IFERROR(NORMINV(RAND(),'Passangers Analysis'!M54,'Passangers Analysis'!M54*0.2),0)</f>
        <v>7.008286651</v>
      </c>
      <c r="N58" s="14">
        <f>IFERROR(NORMINV(RAND(),'Passangers Analysis'!N54,'Passangers Analysis'!N54*0.2),0)</f>
        <v>5.388875778</v>
      </c>
      <c r="O58" s="14">
        <f>IFERROR(NORMINV(RAND(),'Passangers Analysis'!O54,'Passangers Analysis'!O54*0.2),0)</f>
        <v>1.503435623</v>
      </c>
      <c r="P58" s="14">
        <f>IFERROR(NORMINV(RAND(),'Passangers Analysis'!P54,'Passangers Analysis'!P54*0.2),0)</f>
        <v>6.164764178</v>
      </c>
      <c r="Q58" s="14">
        <f>IFERROR(NORMINV(RAND(),'Passangers Analysis'!Q54,'Passangers Analysis'!Q54*0.2),0)</f>
        <v>0</v>
      </c>
      <c r="R58" s="14">
        <f>IFERROR(NORMINV(RAND(),'Passangers Analysis'!R54,'Passangers Analysis'!R54*0.2),0)</f>
        <v>11.58438516</v>
      </c>
      <c r="S58" s="14">
        <f>IFERROR(NORMINV(RAND(),'Passangers Analysis'!S54,'Passangers Analysis'!S54*0.2),0)</f>
        <v>8.925376455</v>
      </c>
      <c r="T58" s="14">
        <f>IFERROR(NORMINV(RAND(),'Passangers Analysis'!T54,'Passangers Analysis'!T54*0.2),0)</f>
        <v>2.709287799</v>
      </c>
      <c r="U58" s="14">
        <f>IFERROR(NORMINV(RAND(),'Passangers Analysis'!U54,'Passangers Analysis'!U54*0.2),0)</f>
        <v>1.247948731</v>
      </c>
      <c r="V58" s="14">
        <f>IFERROR(NORMINV(RAND(),'Passangers Analysis'!V54,'Passangers Analysis'!V54*0.2),0)</f>
        <v>3.33358133</v>
      </c>
      <c r="W58" s="14">
        <f>IFERROR(NORMINV(RAND(),'Passangers Analysis'!W54,'Passangers Analysis'!W54*0.2),0)</f>
        <v>4.288101271</v>
      </c>
      <c r="X58" s="10">
        <f t="shared" si="5"/>
        <v>32.08868075</v>
      </c>
      <c r="Y58" s="11">
        <f>Q65</f>
        <v>69.00382888</v>
      </c>
      <c r="Z58" s="10">
        <f t="shared" si="8"/>
        <v>882.5728539</v>
      </c>
      <c r="AA58" s="11">
        <f>Z58/Results!$C$14</f>
        <v>294.1909513</v>
      </c>
      <c r="AB58" s="8">
        <f>AA58/Results!$C$6</f>
        <v>5.768450025</v>
      </c>
      <c r="AD58" s="10">
        <f t="shared" si="6"/>
        <v>53.65915671</v>
      </c>
      <c r="AE58" s="16">
        <f>Q66</f>
        <v>24.35580548</v>
      </c>
      <c r="AF58" s="17">
        <f t="shared" si="7"/>
        <v>967.1321512</v>
      </c>
      <c r="AG58" s="11">
        <f>AF58/Results!$C$14</f>
        <v>322.3773837</v>
      </c>
      <c r="AH58" s="8">
        <f>AG58/Results!$C$6</f>
        <v>6.321125172</v>
      </c>
    </row>
    <row r="59" ht="12.75" customHeight="1">
      <c r="A59" s="3">
        <v>16.0</v>
      </c>
      <c r="B59" s="2" t="s">
        <v>19</v>
      </c>
      <c r="C59" s="14">
        <f>IFERROR(NORMINV(RAND(),'Passangers Analysis'!C55,'Passangers Analysis'!C55*0.2),0)</f>
        <v>7.737908359</v>
      </c>
      <c r="D59" s="14">
        <f>IFERROR(NORMINV(RAND(),'Passangers Analysis'!D55,'Passangers Analysis'!D55*0.2),0)</f>
        <v>1.876490895</v>
      </c>
      <c r="E59" s="14">
        <f>IFERROR(NORMINV(RAND(),'Passangers Analysis'!E55,'Passangers Analysis'!E55*0.2),0)</f>
        <v>3.149493885</v>
      </c>
      <c r="F59" s="14">
        <f>IFERROR(NORMINV(RAND(),'Passangers Analysis'!F55,'Passangers Analysis'!F55*0.2),0)</f>
        <v>44.47081048</v>
      </c>
      <c r="G59" s="14">
        <f>IFERROR(NORMINV(RAND(),'Passangers Analysis'!G55,'Passangers Analysis'!G55*0.2),0)</f>
        <v>7.199617454</v>
      </c>
      <c r="H59" s="14">
        <f>IFERROR(NORMINV(RAND(),'Passangers Analysis'!H55,'Passangers Analysis'!H55*0.2),0)</f>
        <v>54.19368844</v>
      </c>
      <c r="I59" s="14">
        <f>IFERROR(NORMINV(RAND(),'Passangers Analysis'!I55,'Passangers Analysis'!I55*0.2),0)</f>
        <v>14.99391781</v>
      </c>
      <c r="J59" s="14">
        <f>IFERROR(NORMINV(RAND(),'Passangers Analysis'!J55,'Passangers Analysis'!J55*0.2),0)</f>
        <v>28.99369639</v>
      </c>
      <c r="K59" s="14">
        <f>IFERROR(NORMINV(RAND(),'Passangers Analysis'!K55,'Passangers Analysis'!K55*0.2),0)</f>
        <v>9.418439918</v>
      </c>
      <c r="L59" s="14">
        <f>IFERROR(NORMINV(RAND(),'Passangers Analysis'!L55,'Passangers Analysis'!L55*0.2),0)</f>
        <v>18.48520014</v>
      </c>
      <c r="M59" s="14">
        <f>IFERROR(NORMINV(RAND(),'Passangers Analysis'!M55,'Passangers Analysis'!M55*0.2),0)</f>
        <v>61.21851091</v>
      </c>
      <c r="N59" s="14">
        <f>IFERROR(NORMINV(RAND(),'Passangers Analysis'!N55,'Passangers Analysis'!N55*0.2),0)</f>
        <v>53.19890074</v>
      </c>
      <c r="O59" s="14">
        <f>IFERROR(NORMINV(RAND(),'Passangers Analysis'!O55,'Passangers Analysis'!O55*0.2),0)</f>
        <v>8.9094076</v>
      </c>
      <c r="P59" s="14">
        <f>IFERROR(NORMINV(RAND(),'Passangers Analysis'!P55,'Passangers Analysis'!P55*0.2),0)</f>
        <v>47.92527092</v>
      </c>
      <c r="Q59" s="14">
        <f>IFERROR(NORMINV(RAND(),'Passangers Analysis'!Q55,'Passangers Analysis'!Q55*0.2),0)</f>
        <v>5.849250516</v>
      </c>
      <c r="R59" s="14">
        <f>IFERROR(NORMINV(RAND(),'Passangers Analysis'!R55,'Passangers Analysis'!R55*0.2),0)</f>
        <v>0</v>
      </c>
      <c r="S59" s="14">
        <f>IFERROR(NORMINV(RAND(),'Passangers Analysis'!S55,'Passangers Analysis'!S55*0.2),0)</f>
        <v>24.92094019</v>
      </c>
      <c r="T59" s="14">
        <f>IFERROR(NORMINV(RAND(),'Passangers Analysis'!T55,'Passangers Analysis'!T55*0.2),0)</f>
        <v>5.563368606</v>
      </c>
      <c r="U59" s="14">
        <f>IFERROR(NORMINV(RAND(),'Passangers Analysis'!U55,'Passangers Analysis'!U55*0.2),0)</f>
        <v>8.105563888</v>
      </c>
      <c r="V59" s="14">
        <f>IFERROR(NORMINV(RAND(),'Passangers Analysis'!V55,'Passangers Analysis'!V55*0.2),0)</f>
        <v>16.72715041</v>
      </c>
      <c r="W59" s="14">
        <f>IFERROR(NORMINV(RAND(),'Passangers Analysis'!W55,'Passangers Analysis'!W55*0.2),0)</f>
        <v>14.28746845</v>
      </c>
      <c r="X59" s="10">
        <f t="shared" si="5"/>
        <v>69.60449154</v>
      </c>
      <c r="Y59" s="11">
        <f>R65</f>
        <v>372.2756122</v>
      </c>
      <c r="Z59" s="10">
        <f t="shared" si="8"/>
        <v>579.9017333</v>
      </c>
      <c r="AA59" s="11">
        <f>Z59/Results!$C$14</f>
        <v>193.3005778</v>
      </c>
      <c r="AB59" s="8">
        <f>AA59/Results!$C$6</f>
        <v>3.790207407</v>
      </c>
      <c r="AD59" s="10">
        <f t="shared" si="6"/>
        <v>367.6206044</v>
      </c>
      <c r="AE59" s="16">
        <f>R66</f>
        <v>49.24676918</v>
      </c>
      <c r="AF59" s="17">
        <f t="shared" si="7"/>
        <v>937.8288</v>
      </c>
      <c r="AG59" s="11">
        <f>AF59/Results!$C$14</f>
        <v>312.6096</v>
      </c>
      <c r="AH59" s="8">
        <f>AG59/Results!$C$6</f>
        <v>6.1296</v>
      </c>
    </row>
    <row r="60" ht="12.75" customHeight="1">
      <c r="A60" s="3">
        <v>17.0</v>
      </c>
      <c r="B60" s="2" t="s">
        <v>20</v>
      </c>
      <c r="C60" s="14">
        <f>IFERROR(NORMINV(RAND(),'Passangers Analysis'!C56,'Passangers Analysis'!C56*0.2),0)</f>
        <v>10.81223999</v>
      </c>
      <c r="D60" s="14">
        <f>IFERROR(NORMINV(RAND(),'Passangers Analysis'!D56,'Passangers Analysis'!D56*0.2),0)</f>
        <v>5.88589642</v>
      </c>
      <c r="E60" s="14">
        <f>IFERROR(NORMINV(RAND(),'Passangers Analysis'!E56,'Passangers Analysis'!E56*0.2),0)</f>
        <v>2.044161975</v>
      </c>
      <c r="F60" s="14">
        <f>IFERROR(NORMINV(RAND(),'Passangers Analysis'!F56,'Passangers Analysis'!F56*0.2),0)</f>
        <v>11.88542609</v>
      </c>
      <c r="G60" s="14">
        <f>IFERROR(NORMINV(RAND(),'Passangers Analysis'!G56,'Passangers Analysis'!G56*0.2),0)</f>
        <v>4.916397921</v>
      </c>
      <c r="H60" s="14">
        <f>IFERROR(NORMINV(RAND(),'Passangers Analysis'!H56,'Passangers Analysis'!H56*0.2),0)</f>
        <v>28.11923353</v>
      </c>
      <c r="I60" s="14">
        <f>IFERROR(NORMINV(RAND(),'Passangers Analysis'!I56,'Passangers Analysis'!I56*0.2),0)</f>
        <v>10.97701373</v>
      </c>
      <c r="J60" s="14">
        <f>IFERROR(NORMINV(RAND(),'Passangers Analysis'!J56,'Passangers Analysis'!J56*0.2),0)</f>
        <v>35.24530549</v>
      </c>
      <c r="K60" s="14">
        <f>IFERROR(NORMINV(RAND(),'Passangers Analysis'!K56,'Passangers Analysis'!K56*0.2),0)</f>
        <v>5.00242643</v>
      </c>
      <c r="L60" s="14">
        <f>IFERROR(NORMINV(RAND(),'Passangers Analysis'!L56,'Passangers Analysis'!L56*0.2),0)</f>
        <v>16.91414976</v>
      </c>
      <c r="M60" s="14">
        <f>IFERROR(NORMINV(RAND(),'Passangers Analysis'!M56,'Passangers Analysis'!M56*0.2),0)</f>
        <v>29.23013253</v>
      </c>
      <c r="N60" s="14">
        <f>IFERROR(NORMINV(RAND(),'Passangers Analysis'!N56,'Passangers Analysis'!N56*0.2),0)</f>
        <v>39.00092754</v>
      </c>
      <c r="O60" s="14">
        <f>IFERROR(NORMINV(RAND(),'Passangers Analysis'!O56,'Passangers Analysis'!O56*0.2),0)</f>
        <v>6.959131861</v>
      </c>
      <c r="P60" s="14">
        <f>IFERROR(NORMINV(RAND(),'Passangers Analysis'!P56,'Passangers Analysis'!P56*0.2),0)</f>
        <v>25.01875954</v>
      </c>
      <c r="Q60" s="14">
        <f>IFERROR(NORMINV(RAND(),'Passangers Analysis'!Q56,'Passangers Analysis'!Q56*0.2),0)</f>
        <v>5.078953288</v>
      </c>
      <c r="R60" s="14">
        <f>IFERROR(NORMINV(RAND(),'Passangers Analysis'!R56,'Passangers Analysis'!R56*0.2),0)</f>
        <v>24.00011039</v>
      </c>
      <c r="S60" s="14">
        <f>IFERROR(NORMINV(RAND(),'Passangers Analysis'!S56,'Passangers Analysis'!S56*0.2),0)</f>
        <v>0</v>
      </c>
      <c r="T60" s="14">
        <f>IFERROR(NORMINV(RAND(),'Passangers Analysis'!T56,'Passangers Analysis'!T56*0.2),0)</f>
        <v>2.664664565</v>
      </c>
      <c r="U60" s="14">
        <f>IFERROR(NORMINV(RAND(),'Passangers Analysis'!U56,'Passangers Analysis'!U56*0.2),0)</f>
        <v>3.708277407</v>
      </c>
      <c r="V60" s="14">
        <f>IFERROR(NORMINV(RAND(),'Passangers Analysis'!V56,'Passangers Analysis'!V56*0.2),0)</f>
        <v>4.66723313</v>
      </c>
      <c r="W60" s="14">
        <f>IFERROR(NORMINV(RAND(),'Passangers Analysis'!W56,'Passangers Analysis'!W56*0.2),0)</f>
        <v>8.541363057</v>
      </c>
      <c r="X60" s="10">
        <f t="shared" si="5"/>
        <v>19.58153816</v>
      </c>
      <c r="Y60" s="11">
        <f>S65</f>
        <v>209.6174079</v>
      </c>
      <c r="Z60" s="10">
        <f t="shared" si="8"/>
        <v>389.8658635</v>
      </c>
      <c r="AA60" s="11">
        <f>Z60/Results!$C$14</f>
        <v>129.9552878</v>
      </c>
      <c r="AB60" s="8">
        <f>AA60/Results!$C$6</f>
        <v>2.548142899</v>
      </c>
      <c r="AD60" s="10">
        <f t="shared" si="6"/>
        <v>261.0902665</v>
      </c>
      <c r="AE60" s="16">
        <f>S66</f>
        <v>27.845508</v>
      </c>
      <c r="AF60" s="17">
        <f t="shared" si="7"/>
        <v>619.4549648</v>
      </c>
      <c r="AG60" s="11">
        <f>AF60/Results!$C$14</f>
        <v>206.4849883</v>
      </c>
      <c r="AH60" s="8">
        <f>AG60/Results!$C$6</f>
        <v>4.04872526</v>
      </c>
    </row>
    <row r="61" ht="12.75" customHeight="1">
      <c r="A61" s="3">
        <v>18.0</v>
      </c>
      <c r="B61" s="2" t="s">
        <v>21</v>
      </c>
      <c r="C61" s="14">
        <f>IFERROR(NORMINV(RAND(),'Passangers Analysis'!C57,'Passangers Analysis'!C57*0.2),0)</f>
        <v>2.039617252</v>
      </c>
      <c r="D61" s="14">
        <f>IFERROR(NORMINV(RAND(),'Passangers Analysis'!D57,'Passangers Analysis'!D57*0.2),0)</f>
        <v>2.80340328</v>
      </c>
      <c r="E61" s="14">
        <f>IFERROR(NORMINV(RAND(),'Passangers Analysis'!E57,'Passangers Analysis'!E57*0.2),0)</f>
        <v>1.087007541</v>
      </c>
      <c r="F61" s="14">
        <f>IFERROR(NORMINV(RAND(),'Passangers Analysis'!F57,'Passangers Analysis'!F57*0.2),0)</f>
        <v>5.345624531</v>
      </c>
      <c r="G61" s="14">
        <f>IFERROR(NORMINV(RAND(),'Passangers Analysis'!G57,'Passangers Analysis'!G57*0.2),0)</f>
        <v>2.241492346</v>
      </c>
      <c r="H61" s="14">
        <f>IFERROR(NORMINV(RAND(),'Passangers Analysis'!H57,'Passangers Analysis'!H57*0.2),0)</f>
        <v>5.774018886</v>
      </c>
      <c r="I61" s="14">
        <f>IFERROR(NORMINV(RAND(),'Passangers Analysis'!I57,'Passangers Analysis'!I57*0.2),0)</f>
        <v>2.320190928</v>
      </c>
      <c r="J61" s="14">
        <f>IFERROR(NORMINV(RAND(),'Passangers Analysis'!J57,'Passangers Analysis'!J57*0.2),0)</f>
        <v>6.820047642</v>
      </c>
      <c r="K61" s="14">
        <f>IFERROR(NORMINV(RAND(),'Passangers Analysis'!K57,'Passangers Analysis'!K57*0.2),0)</f>
        <v>1.235518777</v>
      </c>
      <c r="L61" s="14">
        <f>IFERROR(NORMINV(RAND(),'Passangers Analysis'!L57,'Passangers Analysis'!L57*0.2),0)</f>
        <v>2.602429924</v>
      </c>
      <c r="M61" s="14">
        <f>IFERROR(NORMINV(RAND(),'Passangers Analysis'!M57,'Passangers Analysis'!M57*0.2),0)</f>
        <v>9.758291337</v>
      </c>
      <c r="N61" s="14">
        <f>IFERROR(NORMINV(RAND(),'Passangers Analysis'!N57,'Passangers Analysis'!N57*0.2),0)</f>
        <v>3.367807028</v>
      </c>
      <c r="O61" s="14">
        <f>IFERROR(NORMINV(RAND(),'Passangers Analysis'!O57,'Passangers Analysis'!O57*0.2),0)</f>
        <v>3.387931825</v>
      </c>
      <c r="P61" s="14">
        <f>IFERROR(NORMINV(RAND(),'Passangers Analysis'!P57,'Passangers Analysis'!P57*0.2),0)</f>
        <v>10.40319135</v>
      </c>
      <c r="Q61" s="14">
        <f>IFERROR(NORMINV(RAND(),'Passangers Analysis'!Q57,'Passangers Analysis'!Q57*0.2),0)</f>
        <v>3.242529984</v>
      </c>
      <c r="R61" s="14">
        <f>IFERROR(NORMINV(RAND(),'Passangers Analysis'!R57,'Passangers Analysis'!R57*0.2),0)</f>
        <v>3.543078812</v>
      </c>
      <c r="S61" s="14">
        <f>IFERROR(NORMINV(RAND(),'Passangers Analysis'!S57,'Passangers Analysis'!S57*0.2),0)</f>
        <v>4.988564028</v>
      </c>
      <c r="T61" s="14">
        <f>IFERROR(NORMINV(RAND(),'Passangers Analysis'!T57,'Passangers Analysis'!T57*0.2),0)</f>
        <v>0</v>
      </c>
      <c r="U61" s="14">
        <f>IFERROR(NORMINV(RAND(),'Passangers Analysis'!U57,'Passangers Analysis'!U57*0.2),0)</f>
        <v>0.9733116889</v>
      </c>
      <c r="V61" s="14">
        <f>IFERROR(NORMINV(RAND(),'Passangers Analysis'!V57,'Passangers Analysis'!V57*0.2),0)</f>
        <v>1.7410245</v>
      </c>
      <c r="W61" s="14">
        <f>IFERROR(NORMINV(RAND(),'Passangers Analysis'!W57,'Passangers Analysis'!W57*0.2),0)</f>
        <v>2.707104885</v>
      </c>
      <c r="X61" s="10">
        <f t="shared" si="5"/>
        <v>5.421441074</v>
      </c>
      <c r="Y61" s="11">
        <f>T65</f>
        <v>67.92898712</v>
      </c>
      <c r="Z61" s="10">
        <f t="shared" si="8"/>
        <v>327.3583175</v>
      </c>
      <c r="AA61" s="11">
        <f>Z61/Results!$C$14</f>
        <v>109.1194392</v>
      </c>
      <c r="AB61" s="8">
        <f>AA61/Results!$C$6</f>
        <v>2.139596846</v>
      </c>
      <c r="AD61" s="10">
        <f t="shared" si="6"/>
        <v>70.96074547</v>
      </c>
      <c r="AE61" s="16">
        <f>T66</f>
        <v>6.474660539</v>
      </c>
      <c r="AF61" s="17">
        <f t="shared" si="7"/>
        <v>386.2102063</v>
      </c>
      <c r="AG61" s="11">
        <f>AF61/Results!$C$14</f>
        <v>128.7367354</v>
      </c>
      <c r="AH61" s="8">
        <f>AG61/Results!$C$6</f>
        <v>2.524249714</v>
      </c>
    </row>
    <row r="62" ht="12.75" customHeight="1">
      <c r="A62" s="3">
        <v>19.0</v>
      </c>
      <c r="B62" s="2" t="s">
        <v>22</v>
      </c>
      <c r="C62" s="14">
        <f>IFERROR(NORMINV(RAND(),'Passangers Analysis'!C58,'Passangers Analysis'!C58*0.2),0)</f>
        <v>4.751483872</v>
      </c>
      <c r="D62" s="14">
        <f>IFERROR(NORMINV(RAND(),'Passangers Analysis'!D58,'Passangers Analysis'!D58*0.2),0)</f>
        <v>2.023768938</v>
      </c>
      <c r="E62" s="14">
        <f>IFERROR(NORMINV(RAND(),'Passangers Analysis'!E58,'Passangers Analysis'!E58*0.2),0)</f>
        <v>1.095316934</v>
      </c>
      <c r="F62" s="14">
        <f>IFERROR(NORMINV(RAND(),'Passangers Analysis'!F58,'Passangers Analysis'!F58*0.2),0)</f>
        <v>9.184232282</v>
      </c>
      <c r="G62" s="14">
        <f>IFERROR(NORMINV(RAND(),'Passangers Analysis'!G58,'Passangers Analysis'!G58*0.2),0)</f>
        <v>2.66005948</v>
      </c>
      <c r="H62" s="14">
        <f>IFERROR(NORMINV(RAND(),'Passangers Analysis'!H58,'Passangers Analysis'!H58*0.2),0)</f>
        <v>6.743785795</v>
      </c>
      <c r="I62" s="14">
        <f>IFERROR(NORMINV(RAND(),'Passangers Analysis'!I58,'Passangers Analysis'!I58*0.2),0)</f>
        <v>3.99834605</v>
      </c>
      <c r="J62" s="14">
        <f>IFERROR(NORMINV(RAND(),'Passangers Analysis'!J58,'Passangers Analysis'!J58*0.2),0)</f>
        <v>5.608865911</v>
      </c>
      <c r="K62" s="14">
        <f>IFERROR(NORMINV(RAND(),'Passangers Analysis'!K58,'Passangers Analysis'!K58*0.2),0)</f>
        <v>1.450980394</v>
      </c>
      <c r="L62" s="14">
        <f>IFERROR(NORMINV(RAND(),'Passangers Analysis'!L58,'Passangers Analysis'!L58*0.2),0)</f>
        <v>2.083882169</v>
      </c>
      <c r="M62" s="14">
        <f>IFERROR(NORMINV(RAND(),'Passangers Analysis'!M58,'Passangers Analysis'!M58*0.2),0)</f>
        <v>4.907396677</v>
      </c>
      <c r="N62" s="14">
        <f>IFERROR(NORMINV(RAND(),'Passangers Analysis'!N58,'Passangers Analysis'!N58*0.2),0)</f>
        <v>9.351905258</v>
      </c>
      <c r="O62" s="14">
        <f>IFERROR(NORMINV(RAND(),'Passangers Analysis'!O58,'Passangers Analysis'!O58*0.2),0)</f>
        <v>3.013949055</v>
      </c>
      <c r="P62" s="14">
        <f>IFERROR(NORMINV(RAND(),'Passangers Analysis'!P58,'Passangers Analysis'!P58*0.2),0)</f>
        <v>5.564590652</v>
      </c>
      <c r="Q62" s="14">
        <f>IFERROR(NORMINV(RAND(),'Passangers Analysis'!Q58,'Passangers Analysis'!Q58*0.2),0)</f>
        <v>2.531386781</v>
      </c>
      <c r="R62" s="14">
        <f>IFERROR(NORMINV(RAND(),'Passangers Analysis'!R58,'Passangers Analysis'!R58*0.2),0)</f>
        <v>4.622944805</v>
      </c>
      <c r="S62" s="14">
        <f>IFERROR(NORMINV(RAND(),'Passangers Analysis'!S58,'Passangers Analysis'!S58*0.2),0)</f>
        <v>5.616745457</v>
      </c>
      <c r="T62" s="14">
        <f>IFERROR(NORMINV(RAND(),'Passangers Analysis'!T58,'Passangers Analysis'!T58*0.2),0)</f>
        <v>2.549149804</v>
      </c>
      <c r="U62" s="14">
        <f>IFERROR(NORMINV(RAND(),'Passangers Analysis'!U58,'Passangers Analysis'!U58*0.2),0)</f>
        <v>0</v>
      </c>
      <c r="V62" s="14">
        <f>IFERROR(NORMINV(RAND(),'Passangers Analysis'!V58,'Passangers Analysis'!V58*0.2),0)</f>
        <v>1.443838882</v>
      </c>
      <c r="W62" s="14">
        <f>IFERROR(NORMINV(RAND(),'Passangers Analysis'!W58,'Passangers Analysis'!W58*0.2),0)</f>
        <v>3.325183249</v>
      </c>
      <c r="X62" s="10">
        <f t="shared" si="5"/>
        <v>4.769022132</v>
      </c>
      <c r="Y62" s="11">
        <f>U65</f>
        <v>84.82140336</v>
      </c>
      <c r="Z62" s="10">
        <f t="shared" si="8"/>
        <v>247.3059362</v>
      </c>
      <c r="AA62" s="11">
        <f>Z62/Results!$C$14</f>
        <v>82.43531208</v>
      </c>
      <c r="AB62" s="8">
        <f>AA62/Results!$C$6</f>
        <v>1.616378668</v>
      </c>
      <c r="AD62" s="10">
        <f t="shared" si="6"/>
        <v>77.75879031</v>
      </c>
      <c r="AE62" s="16">
        <f>U$66</f>
        <v>6.256445947</v>
      </c>
      <c r="AF62" s="17">
        <f t="shared" si="7"/>
        <v>321.7241213</v>
      </c>
      <c r="AG62" s="11">
        <f>AF62/Results!$C$14</f>
        <v>107.2413738</v>
      </c>
      <c r="AH62" s="8">
        <f>AG62/Results!$C$6</f>
        <v>2.102772035</v>
      </c>
    </row>
    <row r="63" ht="12.75" customHeight="1">
      <c r="A63" s="3">
        <v>20.0</v>
      </c>
      <c r="B63" s="2" t="s">
        <v>23</v>
      </c>
      <c r="C63" s="14">
        <f>IFERROR(NORMINV(RAND(),'Passangers Analysis'!C59,'Passangers Analysis'!C59*0.2),0)</f>
        <v>5.751170127</v>
      </c>
      <c r="D63" s="14">
        <f>IFERROR(NORMINV(RAND(),'Passangers Analysis'!D59,'Passangers Analysis'!D59*0.2),0)</f>
        <v>1.931374236</v>
      </c>
      <c r="E63" s="14">
        <f>IFERROR(NORMINV(RAND(),'Passangers Analysis'!E59,'Passangers Analysis'!E59*0.2),0)</f>
        <v>2.27886415</v>
      </c>
      <c r="F63" s="14">
        <f>IFERROR(NORMINV(RAND(),'Passangers Analysis'!F59,'Passangers Analysis'!F59*0.2),0)</f>
        <v>16.70493503</v>
      </c>
      <c r="G63" s="14">
        <f>IFERROR(NORMINV(RAND(),'Passangers Analysis'!G59,'Passangers Analysis'!G59*0.2),0)</f>
        <v>3.465621446</v>
      </c>
      <c r="H63" s="14">
        <f>IFERROR(NORMINV(RAND(),'Passangers Analysis'!H59,'Passangers Analysis'!H59*0.2),0)</f>
        <v>6.96654874</v>
      </c>
      <c r="I63" s="14">
        <f>IFERROR(NORMINV(RAND(),'Passangers Analysis'!I59,'Passangers Analysis'!I59*0.2),0)</f>
        <v>5.843663978</v>
      </c>
      <c r="J63" s="14">
        <f>IFERROR(NORMINV(RAND(),'Passangers Analysis'!J59,'Passangers Analysis'!J59*0.2),0)</f>
        <v>8.540625546</v>
      </c>
      <c r="K63" s="14">
        <f>IFERROR(NORMINV(RAND(),'Passangers Analysis'!K59,'Passangers Analysis'!K59*0.2),0)</f>
        <v>4.702470873</v>
      </c>
      <c r="L63" s="14">
        <f>IFERROR(NORMINV(RAND(),'Passangers Analysis'!L59,'Passangers Analysis'!L59*0.2),0)</f>
        <v>7.857620093</v>
      </c>
      <c r="M63" s="14">
        <f>IFERROR(NORMINV(RAND(),'Passangers Analysis'!M59,'Passangers Analysis'!M59*0.2),0)</f>
        <v>9.161672109</v>
      </c>
      <c r="N63" s="14">
        <f>IFERROR(NORMINV(RAND(),'Passangers Analysis'!N59,'Passangers Analysis'!N59*0.2),0)</f>
        <v>7.807778177</v>
      </c>
      <c r="O63" s="14">
        <f>IFERROR(NORMINV(RAND(),'Passangers Analysis'!O59,'Passangers Analysis'!O59*0.2),0)</f>
        <v>5.54120336</v>
      </c>
      <c r="P63" s="14">
        <f>IFERROR(NORMINV(RAND(),'Passangers Analysis'!P59,'Passangers Analysis'!P59*0.2),0)</f>
        <v>7.627185453</v>
      </c>
      <c r="Q63" s="14">
        <f>IFERROR(NORMINV(RAND(),'Passangers Analysis'!Q59,'Passangers Analysis'!Q59*0.2),0)</f>
        <v>3.690994302</v>
      </c>
      <c r="R63" s="14">
        <f>IFERROR(NORMINV(RAND(),'Passangers Analysis'!R59,'Passangers Analysis'!R59*0.2),0)</f>
        <v>10.33141774</v>
      </c>
      <c r="S63" s="14">
        <f>IFERROR(NORMINV(RAND(),'Passangers Analysis'!S59,'Passangers Analysis'!S59*0.2),0)</f>
        <v>8.913008672</v>
      </c>
      <c r="T63" s="14">
        <f>IFERROR(NORMINV(RAND(),'Passangers Analysis'!T59,'Passangers Analysis'!T59*0.2),0)</f>
        <v>2.772951867</v>
      </c>
      <c r="U63" s="14">
        <f>IFERROR(NORMINV(RAND(),'Passangers Analysis'!U59,'Passangers Analysis'!U59*0.2),0)</f>
        <v>1.818909657</v>
      </c>
      <c r="V63" s="14">
        <f>IFERROR(NORMINV(RAND(),'Passangers Analysis'!V59,'Passangers Analysis'!V59*0.2),0)</f>
        <v>0</v>
      </c>
      <c r="W63" s="14">
        <f>IFERROR(NORMINV(RAND(),'Passangers Analysis'!W59,'Passangers Analysis'!W59*0.2),0)</f>
        <v>4.22486787</v>
      </c>
      <c r="X63" s="10">
        <f t="shared" si="5"/>
        <v>4.22486787</v>
      </c>
      <c r="Y63" s="11">
        <f>V65</f>
        <v>121.1697718</v>
      </c>
      <c r="Z63" s="10">
        <f t="shared" si="8"/>
        <v>130.3610323</v>
      </c>
      <c r="AA63" s="11">
        <f>Z63/Results!$C$14</f>
        <v>43.45367743</v>
      </c>
      <c r="AB63" s="8">
        <f>AA63/Results!$C$6</f>
        <v>0.8520328908</v>
      </c>
      <c r="AD63" s="10">
        <f t="shared" si="6"/>
        <v>121.7080156</v>
      </c>
      <c r="AE63" s="16">
        <f>V$66</f>
        <v>5.995843011</v>
      </c>
      <c r="AF63" s="17">
        <f t="shared" si="7"/>
        <v>250.221777</v>
      </c>
      <c r="AG63" s="11">
        <f>AF63/Results!$C$14</f>
        <v>83.40725899</v>
      </c>
      <c r="AH63" s="8">
        <f>AG63/Results!$C$6</f>
        <v>1.635436451</v>
      </c>
    </row>
    <row r="64" ht="12.75" customHeight="1">
      <c r="A64" s="3">
        <v>21.0</v>
      </c>
      <c r="B64" s="2" t="s">
        <v>24</v>
      </c>
      <c r="C64" s="14">
        <f>IFERROR(NORMINV(RAND(),'Passangers Analysis'!C60,'Passangers Analysis'!C60*0.2),0)</f>
        <v>3.651859019</v>
      </c>
      <c r="D64" s="14">
        <f>IFERROR(NORMINV(RAND(),'Passangers Analysis'!D60,'Passangers Analysis'!D60*0.2),0)</f>
        <v>2.252270587</v>
      </c>
      <c r="E64" s="14">
        <f>IFERROR(NORMINV(RAND(),'Passangers Analysis'!E60,'Passangers Analysis'!E60*0.2),0)</f>
        <v>3.514180465</v>
      </c>
      <c r="F64" s="14">
        <f>IFERROR(NORMINV(RAND(),'Passangers Analysis'!F60,'Passangers Analysis'!F60*0.2),0)</f>
        <v>5.534459006</v>
      </c>
      <c r="G64" s="14">
        <f>IFERROR(NORMINV(RAND(),'Passangers Analysis'!G60,'Passangers Analysis'!G60*0.2),0)</f>
        <v>4.964873325</v>
      </c>
      <c r="H64" s="14">
        <f>IFERROR(NORMINV(RAND(),'Passangers Analysis'!H60,'Passangers Analysis'!H60*0.2),0)</f>
        <v>7.794638808</v>
      </c>
      <c r="I64" s="14">
        <f>IFERROR(NORMINV(RAND(),'Passangers Analysis'!I60,'Passangers Analysis'!I60*0.2),0)</f>
        <v>6.374877434</v>
      </c>
      <c r="J64" s="14">
        <f>IFERROR(NORMINV(RAND(),'Passangers Analysis'!J60,'Passangers Analysis'!J60*0.2),0)</f>
        <v>8.383131558</v>
      </c>
      <c r="K64" s="14">
        <f>IFERROR(NORMINV(RAND(),'Passangers Analysis'!K60,'Passangers Analysis'!K60*0.2),0)</f>
        <v>3.885473045</v>
      </c>
      <c r="L64" s="14">
        <f>IFERROR(NORMINV(RAND(),'Passangers Analysis'!L60,'Passangers Analysis'!L60*0.2),0)</f>
        <v>8.846102783</v>
      </c>
      <c r="M64" s="14">
        <f>IFERROR(NORMINV(RAND(),'Passangers Analysis'!M60,'Passangers Analysis'!M60*0.2),0)</f>
        <v>11.68739715</v>
      </c>
      <c r="N64" s="14">
        <f>IFERROR(NORMINV(RAND(),'Passangers Analysis'!N60,'Passangers Analysis'!N60*0.2),0)</f>
        <v>8.800802668</v>
      </c>
      <c r="O64" s="14">
        <f>IFERROR(NORMINV(RAND(),'Passangers Analysis'!O60,'Passangers Analysis'!O60*0.2),0)</f>
        <v>12.17882146</v>
      </c>
      <c r="P64" s="14">
        <f>IFERROR(NORMINV(RAND(),'Passangers Analysis'!P60,'Passangers Analysis'!P60*0.2),0)</f>
        <v>16.01568105</v>
      </c>
      <c r="Q64" s="14">
        <f>IFERROR(NORMINV(RAND(),'Passangers Analysis'!Q60,'Passangers Analysis'!Q60*0.2),0)</f>
        <v>3.962690613</v>
      </c>
      <c r="R64" s="14">
        <f>IFERROR(NORMINV(RAND(),'Passangers Analysis'!R60,'Passangers Analysis'!R60*0.2),0)</f>
        <v>6.74921743</v>
      </c>
      <c r="S64" s="14">
        <f>IFERROR(NORMINV(RAND(),'Passangers Analysis'!S60,'Passangers Analysis'!S60*0.2),0)</f>
        <v>8.327189849</v>
      </c>
      <c r="T64" s="14">
        <f>IFERROR(NORMINV(RAND(),'Passangers Analysis'!T60,'Passangers Analysis'!T60*0.2),0)</f>
        <v>1.152558868</v>
      </c>
      <c r="U64" s="14">
        <f>IFERROR(NORMINV(RAND(),'Passangers Analysis'!U60,'Passangers Analysis'!U60*0.2),0)</f>
        <v>4.43753629</v>
      </c>
      <c r="V64" s="14">
        <f>IFERROR(NORMINV(RAND(),'Passangers Analysis'!V60,'Passangers Analysis'!V60*0.2),0)</f>
        <v>5.995843011</v>
      </c>
      <c r="W64" s="14">
        <f>IFERROR(NORMINV(RAND(),'Passangers Analysis'!W60,'Passangers Analysis'!W60*0.2),0)</f>
        <v>0</v>
      </c>
      <c r="X64" s="10">
        <f t="shared" si="5"/>
        <v>0</v>
      </c>
      <c r="Y64" s="11">
        <f>W65</f>
        <v>130.3610323</v>
      </c>
      <c r="Z64" s="10">
        <f t="shared" si="8"/>
        <v>0</v>
      </c>
      <c r="AA64" s="11">
        <f>Z64/Results!$C$14</f>
        <v>0</v>
      </c>
      <c r="AB64" s="8">
        <f>AA64/Results!$C$6</f>
        <v>0</v>
      </c>
      <c r="AD64" s="10">
        <f t="shared" si="6"/>
        <v>134.5096044</v>
      </c>
      <c r="AE64" s="16">
        <f>W$66</f>
        <v>0</v>
      </c>
      <c r="AF64" s="17">
        <f>AD64-AE64</f>
        <v>134.5096044</v>
      </c>
      <c r="AG64" s="11">
        <f>AF64/Results!$C$14</f>
        <v>44.83653481</v>
      </c>
      <c r="AH64" s="8">
        <f>AG64/Results!$C$6</f>
        <v>0.8791477413</v>
      </c>
    </row>
    <row r="65" ht="12.75" customHeight="1">
      <c r="A65" s="3"/>
      <c r="B65" s="2"/>
      <c r="C65" s="12">
        <f t="array" ref="C65">SUM(IF($A$44:$A$64&lt;C$41,C44:C64,0))</f>
        <v>0</v>
      </c>
      <c r="D65" s="12">
        <f t="array" ref="D65">SUM(IF($A$44:$A$64&lt;D$41,D44:D64,0))</f>
        <v>2.791732342</v>
      </c>
      <c r="E65" s="12">
        <f t="array" ref="E65">SUM(IF($A$44:$A$64&lt;E$41,E44:E64,0))</f>
        <v>3.400260684</v>
      </c>
      <c r="F65" s="12">
        <f t="array" ref="F65">SUM(IF($A$44:$A$64&lt;F$41,F44:F64,0))</f>
        <v>20.89594008</v>
      </c>
      <c r="G65" s="12">
        <f t="array" ref="G65">SUM(IF($A$44:$A$64&lt;G$41,G44:G64,0))</f>
        <v>12.42534657</v>
      </c>
      <c r="H65" s="12">
        <f t="array" ref="H65">SUM(IF($A$44:$A$64&lt;H$41,H44:H64,0))</f>
        <v>50.88874669</v>
      </c>
      <c r="I65" s="12">
        <f t="array" ref="I65">SUM(IF($A$44:$A$64&lt;I$41,I44:I64,0))</f>
        <v>45.19154528</v>
      </c>
      <c r="J65" s="12">
        <f t="array" ref="J65">SUM(IF($A$44:$A$64&lt;J$41,J44:J64,0))</f>
        <v>98.78787932</v>
      </c>
      <c r="K65" s="12">
        <f t="array" ref="K65">SUM(IF($A$44:$A$64&lt;K$41,K44:K64,0))</f>
        <v>28.27666214</v>
      </c>
      <c r="L65" s="12">
        <f t="array" ref="L65">SUM(IF($A$44:$A$64&lt;L$41,L44:L64,0))</f>
        <v>67.74931597</v>
      </c>
      <c r="M65" s="12">
        <f t="array" ref="M65">SUM(IF($A$44:$A$64&lt;M$41,M44:M64,0))</f>
        <v>148.4192611</v>
      </c>
      <c r="N65" s="12">
        <f t="array" ref="N65">SUM(IF($A$44:$A$64&lt;N$41,N44:N64,0))</f>
        <v>222.9957096</v>
      </c>
      <c r="O65" s="12">
        <f t="array" ref="O65">SUM(IF($A$44:$A$64&lt;O$41,O44:O64,0))</f>
        <v>65.70185359</v>
      </c>
      <c r="P65" s="12">
        <f t="array" ref="P65">SUM(IF($A$44:$A$64&lt;P$41,P44:P64,0))</f>
        <v>236.7332159</v>
      </c>
      <c r="Q65" s="12">
        <f t="array" ref="Q65">SUM(IF($A$44:$A$64&lt;Q$41,Q44:Q64,0))</f>
        <v>69.00382888</v>
      </c>
      <c r="R65" s="12">
        <f t="array" ref="R65">SUM(IF($A$44:$A$64&lt;R$41,R44:R64,0))</f>
        <v>372.2756122</v>
      </c>
      <c r="S65" s="12">
        <f t="array" ref="S65">SUM(IF($A$44:$A$64&lt;S$41,S44:S64,0))</f>
        <v>209.6174079</v>
      </c>
      <c r="T65" s="12">
        <f t="array" ref="T65">SUM(IF($A$44:$A$64&lt;T$41,T44:T64,0))</f>
        <v>67.92898712</v>
      </c>
      <c r="U65" s="12">
        <f t="array" ref="U65">SUM(IF($A$44:$A$64&lt;U$41,U44:U64,0))</f>
        <v>84.82140336</v>
      </c>
      <c r="V65" s="12">
        <f t="array" ref="V65">SUM(IF($A$44:$A$64&lt;V$41,V44:V64,0))</f>
        <v>121.1697718</v>
      </c>
      <c r="W65" s="12">
        <f t="array" ref="W65">SUM(IF($A$44:$A$64&lt;W$41,W44:W64,0))</f>
        <v>130.3610323</v>
      </c>
      <c r="AA65" s="15" t="s">
        <v>44</v>
      </c>
      <c r="AB65" s="15">
        <f>ROUNDUP(MAX(AB44:AB64),0)</f>
        <v>8</v>
      </c>
      <c r="AG65" s="15" t="s">
        <v>44</v>
      </c>
      <c r="AH65" s="15">
        <f>ROUNDUP(MAX(AH44:AH64),0)</f>
        <v>9</v>
      </c>
    </row>
    <row r="66" ht="12.75" customHeight="1">
      <c r="C66" s="18">
        <f t="array" ref="C66">SUM(IF($A$44:$A$64&gt;C$41,C44:C64,0))</f>
        <v>127.5966287</v>
      </c>
      <c r="D66" s="18">
        <f t="array" ref="D66">SUM(IF($A$44:$A$64&gt;D$41,D44:D64,0))</f>
        <v>63.35727105</v>
      </c>
      <c r="E66" s="18">
        <f t="array" ref="E66">SUM(IF($A$44:$A$64&gt;E$41,E44:E64,0))</f>
        <v>50.14437023</v>
      </c>
      <c r="F66" s="18">
        <f t="array" ref="F66">SUM(IF($A$44:$A$64&gt;F$41,F44:F64,0))</f>
        <v>466.0008849</v>
      </c>
      <c r="G66" s="18">
        <f t="array" ref="G66">SUM(IF($A$44:$A$64&gt;G$41,G44:G64,0))</f>
        <v>66.34123209</v>
      </c>
      <c r="H66" s="18">
        <f t="array" ref="H66">SUM(IF($A$44:$A$64&gt;H$41,H44:H64,0))</f>
        <v>346.92643</v>
      </c>
      <c r="I66" s="18">
        <f t="array" ref="I66">SUM(IF($A$44:$A$64&gt;I$41,I44:I64,0))</f>
        <v>124.7220574</v>
      </c>
      <c r="J66" s="18">
        <f t="array" ref="J66">SUM(IF($A$44:$A$64&gt;J$41,J44:J64,0))</f>
        <v>232.8554584</v>
      </c>
      <c r="K66" s="18">
        <f t="array" ref="K66">SUM(IF($A$44:$A$64&gt;K$41,K44:K64,0))</f>
        <v>61.89494885</v>
      </c>
      <c r="L66" s="18">
        <f t="array" ref="L66">SUM(IF($A$44:$A$64&gt;L$41,L44:L64,0))</f>
        <v>112.1538935</v>
      </c>
      <c r="M66" s="18">
        <f t="array" ref="M66">SUM(IF($A$44:$A$64&gt;M$41,M44:M64,0))</f>
        <v>194.7196945</v>
      </c>
      <c r="N66" s="18">
        <f t="array" ref="N66">SUM(IF($A$44:$A$64&gt;N$41,N44:N64,0))</f>
        <v>165.4022164</v>
      </c>
      <c r="O66" s="18">
        <f t="array" ref="O66">SUM(IF($A$44:$A$64&gt;O$41,O44:O64,0))</f>
        <v>50.98299236</v>
      </c>
      <c r="P66" s="18">
        <f t="array" ref="P66">SUM(IF($A$44:$A$64&gt;P$41,P44:P64,0))</f>
        <v>118.7194431</v>
      </c>
      <c r="Q66" s="18">
        <f t="array" ref="Q66">SUM(IF($A$44:$A$64&gt;Q$41,Q44:Q64,0))</f>
        <v>24.35580548</v>
      </c>
      <c r="R66" s="18">
        <f t="array" ref="R66">SUM(IF($A$44:$A$64&gt;R$41,R44:R64,0))</f>
        <v>49.24676918</v>
      </c>
      <c r="S66" s="18">
        <f t="array" ref="S66">SUM(IF($A$44:$A$64&gt;S$41,S44:S64,0))</f>
        <v>27.845508</v>
      </c>
      <c r="T66" s="18">
        <f t="array" ref="T66">SUM(IF($A$44:$A$64&gt;T$41,T44:T64,0))</f>
        <v>6.474660539</v>
      </c>
      <c r="U66" s="18">
        <f t="array" ref="U66">SUM(IF($A$44:$A$64&gt;U$41,U44:U64,0))</f>
        <v>6.256445947</v>
      </c>
      <c r="V66" s="18">
        <f t="array" ref="V66">SUM(IF($A$44:$A$64&gt;V$41,V44:V64,0))</f>
        <v>5.995843011</v>
      </c>
      <c r="W66" s="18">
        <f t="array" ref="W66">SUM(IF($A$44:$A$64&gt;W$41,W44:W64,0))</f>
        <v>0</v>
      </c>
      <c r="AA66" s="15" t="s">
        <v>45</v>
      </c>
      <c r="AB66" s="8">
        <f>IF(Results!$C$8-'Normal Distribution simulation'!AB65&gt;=0,1,0)</f>
        <v>1</v>
      </c>
      <c r="AG66" s="15" t="s">
        <v>45</v>
      </c>
      <c r="AH66" s="8">
        <f>IF(Results!$C$8-'Normal Distribution simulation'!AH65&gt;=0,1,0)</f>
        <v>1</v>
      </c>
    </row>
    <row r="67" ht="12.75" customHeight="1">
      <c r="A67" s="13" t="s">
        <v>29</v>
      </c>
    </row>
    <row r="68" ht="12.75" customHeight="1">
      <c r="A68" s="13" t="s">
        <v>30</v>
      </c>
    </row>
    <row r="69" ht="12.75" customHeight="1">
      <c r="A69" s="13" t="s">
        <v>31</v>
      </c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57"/>
    <col customWidth="1" min="2" max="2" width="8.86"/>
    <col customWidth="1" min="3" max="3" width="10.0"/>
    <col customWidth="1" min="4" max="26" width="8.86"/>
  </cols>
  <sheetData>
    <row r="1" ht="12.75" customHeight="1">
      <c r="A1" s="19" t="s">
        <v>46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20" t="s">
        <v>47</v>
      </c>
      <c r="E3" s="21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1" t="s">
        <v>48</v>
      </c>
      <c r="B4" s="22">
        <v>50.24</v>
      </c>
      <c r="C4" s="21"/>
      <c r="D4" s="21"/>
      <c r="E4" s="21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21" t="s">
        <v>49</v>
      </c>
      <c r="B5" s="23" t="s">
        <v>50</v>
      </c>
      <c r="C5" s="21"/>
      <c r="D5" s="21"/>
      <c r="E5" s="21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21" t="s">
        <v>51</v>
      </c>
      <c r="B6" s="22">
        <v>0.58</v>
      </c>
      <c r="C6" s="23">
        <v>8.75E8</v>
      </c>
      <c r="D6" s="21"/>
      <c r="E6" s="2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21" t="s">
        <v>52</v>
      </c>
      <c r="B7" s="23">
        <v>1750000.0</v>
      </c>
      <c r="C7" s="21"/>
      <c r="D7" s="21"/>
      <c r="E7" s="2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21" t="s">
        <v>53</v>
      </c>
      <c r="B8" s="23">
        <v>170000.0</v>
      </c>
      <c r="C8" s="21"/>
      <c r="D8" s="21"/>
      <c r="E8" s="21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21" t="s">
        <v>54</v>
      </c>
      <c r="B9" s="23">
        <v>7.0E7</v>
      </c>
      <c r="C9" s="21"/>
      <c r="D9" s="21"/>
      <c r="E9" s="21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21" t="s">
        <v>55</v>
      </c>
      <c r="B10" s="22">
        <v>0.62</v>
      </c>
      <c r="C10" s="21" t="s">
        <v>56</v>
      </c>
      <c r="D10" s="22">
        <v>0.47</v>
      </c>
      <c r="E10" s="21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21" t="s">
        <v>57</v>
      </c>
      <c r="B11" s="22">
        <v>0.66</v>
      </c>
      <c r="C11" s="21" t="s">
        <v>58</v>
      </c>
      <c r="D11" s="22">
        <v>0.38</v>
      </c>
      <c r="E11" s="21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21"/>
      <c r="B12" s="21"/>
      <c r="C12" s="21"/>
      <c r="D12" s="21"/>
      <c r="E12" s="21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21"/>
      <c r="B13" s="21"/>
      <c r="C13" s="21"/>
      <c r="D13" s="21"/>
      <c r="E13" s="21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24" t="s">
        <v>59</v>
      </c>
      <c r="B14" s="21"/>
      <c r="C14" s="21"/>
      <c r="D14" s="21"/>
      <c r="E14" s="21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24" t="s">
        <v>60</v>
      </c>
      <c r="B15" s="21"/>
      <c r="C15" s="21"/>
      <c r="D15" s="21"/>
      <c r="E15" s="21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21"/>
      <c r="B16" s="21"/>
      <c r="C16" s="21"/>
      <c r="D16" s="21"/>
      <c r="E16" s="21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21"/>
      <c r="B17" s="21"/>
      <c r="C17" s="21"/>
      <c r="D17" s="21"/>
      <c r="E17" s="21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21"/>
      <c r="B18" s="21"/>
      <c r="C18" s="21"/>
      <c r="D18" s="21"/>
      <c r="E18" s="21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21"/>
      <c r="B19" s="21"/>
      <c r="C19" s="21"/>
      <c r="D19" s="21"/>
      <c r="E19" s="21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21"/>
      <c r="B20" s="21"/>
      <c r="C20" s="21"/>
      <c r="D20" s="21"/>
      <c r="E20" s="2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21"/>
      <c r="B21" s="21"/>
      <c r="C21" s="21"/>
      <c r="D21" s="21"/>
      <c r="E21" s="21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21"/>
      <c r="B22" s="21"/>
      <c r="C22" s="21"/>
      <c r="D22" s="21"/>
      <c r="E22" s="21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21"/>
      <c r="B23" s="21"/>
      <c r="C23" s="21"/>
      <c r="D23" s="21"/>
      <c r="E23" s="21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21"/>
      <c r="B24" s="21"/>
      <c r="C24" s="21"/>
      <c r="D24" s="21"/>
      <c r="E24" s="21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21"/>
      <c r="B25" s="21"/>
      <c r="C25" s="21"/>
      <c r="D25" s="21"/>
      <c r="E25" s="21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21"/>
      <c r="B26" s="21"/>
      <c r="C26" s="21"/>
      <c r="D26" s="21"/>
      <c r="E26" s="21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21"/>
      <c r="B27" s="21"/>
      <c r="C27" s="21"/>
      <c r="D27" s="21"/>
      <c r="E27" s="21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21"/>
      <c r="B28" s="21"/>
      <c r="C28" s="21"/>
      <c r="D28" s="21"/>
      <c r="E28" s="21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21"/>
      <c r="B29" s="21"/>
      <c r="C29" s="21"/>
      <c r="D29" s="21"/>
      <c r="E29" s="21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21"/>
      <c r="B30" s="21"/>
      <c r="C30" s="21"/>
      <c r="D30" s="21"/>
      <c r="E30" s="21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21" t="s">
        <v>61</v>
      </c>
      <c r="B31" s="25" t="s">
        <v>62</v>
      </c>
      <c r="C31" s="25" t="s">
        <v>63</v>
      </c>
      <c r="D31" s="21"/>
      <c r="E31" s="21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21" t="s">
        <v>64</v>
      </c>
      <c r="B32" s="21" t="s">
        <v>65</v>
      </c>
      <c r="C32" s="21" t="s">
        <v>66</v>
      </c>
      <c r="D32" s="21"/>
      <c r="E32" s="21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21" t="s">
        <v>67</v>
      </c>
      <c r="B33" s="23">
        <v>21.0</v>
      </c>
      <c r="C33" s="21"/>
      <c r="D33" s="21"/>
      <c r="E33" s="21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21" t="s">
        <v>68</v>
      </c>
      <c r="B34" s="23">
        <v>46.0</v>
      </c>
      <c r="C34" s="21"/>
      <c r="D34" s="21"/>
      <c r="E34" s="21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21" t="s">
        <v>69</v>
      </c>
      <c r="B35" s="23">
        <v>36.0</v>
      </c>
      <c r="C35" s="21" t="s">
        <v>70</v>
      </c>
      <c r="D35" s="23">
        <v>15.0</v>
      </c>
      <c r="E35" s="21" t="s">
        <v>71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21" t="s">
        <v>72</v>
      </c>
      <c r="B36" s="21" t="s">
        <v>73</v>
      </c>
      <c r="C36" s="23">
        <v>52000.0</v>
      </c>
      <c r="D36" s="24" t="s">
        <v>74</v>
      </c>
      <c r="E36" s="21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21"/>
      <c r="B37" s="21"/>
      <c r="C37" s="21"/>
      <c r="D37" s="21"/>
      <c r="E37" s="21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">
    <mergeCell ref="A3:D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8.0"/>
    <col customWidth="1" min="3" max="3" width="11.71"/>
    <col customWidth="1" min="4" max="26" width="8.71"/>
  </cols>
  <sheetData>
    <row r="1" ht="12.75" customHeight="1"/>
    <row r="2" ht="12.75" customHeight="1">
      <c r="B2" s="8" t="s">
        <v>75</v>
      </c>
      <c r="C2" s="8">
        <v>1200.0</v>
      </c>
    </row>
    <row r="3" ht="12.75" customHeight="1">
      <c r="B3" s="8" t="s">
        <v>76</v>
      </c>
      <c r="C3" s="8">
        <v>11.4</v>
      </c>
    </row>
    <row r="4" ht="12.75" customHeight="1">
      <c r="B4" s="8" t="s">
        <v>77</v>
      </c>
      <c r="C4" s="8">
        <f>C3*2</f>
        <v>22.8</v>
      </c>
    </row>
    <row r="5" ht="12.75" customHeight="1">
      <c r="B5" s="8" t="s">
        <v>78</v>
      </c>
      <c r="C5" s="26">
        <f>C2/C4</f>
        <v>52.63157895</v>
      </c>
    </row>
    <row r="6" ht="12.75" customHeight="1">
      <c r="B6" s="8" t="s">
        <v>79</v>
      </c>
      <c r="C6" s="8">
        <v>51.0</v>
      </c>
    </row>
    <row r="7" ht="12.75" customHeight="1">
      <c r="B7" s="8" t="s">
        <v>80</v>
      </c>
      <c r="C7" s="27">
        <v>28.0</v>
      </c>
      <c r="E7" s="8" t="s">
        <v>81</v>
      </c>
    </row>
    <row r="8" ht="12.75" customHeight="1">
      <c r="B8" s="8" t="s">
        <v>82</v>
      </c>
      <c r="C8" s="27">
        <v>9.0</v>
      </c>
    </row>
    <row r="9" ht="12.75" customHeight="1"/>
    <row r="10" ht="12.75" customHeight="1"/>
    <row r="11" ht="12.75" customHeight="1">
      <c r="B11" s="8" t="s">
        <v>83</v>
      </c>
    </row>
    <row r="12" ht="12.75" customHeight="1"/>
    <row r="13" ht="12.75" customHeight="1">
      <c r="B13" s="8" t="s">
        <v>84</v>
      </c>
      <c r="C13" s="27">
        <v>4.0</v>
      </c>
    </row>
    <row r="14" ht="12.75" customHeight="1">
      <c r="B14" s="8" t="s">
        <v>85</v>
      </c>
      <c r="C14" s="27">
        <v>3.0</v>
      </c>
    </row>
    <row r="15" ht="12.75" customHeight="1"/>
    <row r="16" ht="12.75" customHeight="1">
      <c r="B16" s="8" t="s">
        <v>86</v>
      </c>
      <c r="C16" s="8" t="s">
        <v>87</v>
      </c>
    </row>
    <row r="17" ht="12.75" customHeight="1">
      <c r="B17" s="2" t="s">
        <v>4</v>
      </c>
      <c r="C17" s="3">
        <v>1.0</v>
      </c>
    </row>
    <row r="18" ht="12.75" customHeight="1">
      <c r="B18" s="2" t="s">
        <v>5</v>
      </c>
      <c r="C18" s="3">
        <v>2.0</v>
      </c>
    </row>
    <row r="19" ht="12.75" customHeight="1">
      <c r="B19" s="2" t="s">
        <v>6</v>
      </c>
      <c r="C19" s="3">
        <v>3.0</v>
      </c>
    </row>
    <row r="20" ht="12.75" customHeight="1">
      <c r="B20" s="2" t="s">
        <v>7</v>
      </c>
      <c r="C20" s="3">
        <v>4.0</v>
      </c>
    </row>
    <row r="21" ht="12.75" customHeight="1">
      <c r="B21" s="2" t="s">
        <v>8</v>
      </c>
      <c r="C21" s="3">
        <v>5.0</v>
      </c>
    </row>
    <row r="22" ht="12.75" customHeight="1">
      <c r="B22" s="2" t="s">
        <v>9</v>
      </c>
      <c r="C22" s="3">
        <v>6.0</v>
      </c>
    </row>
    <row r="23" ht="12.75" customHeight="1">
      <c r="B23" s="2" t="s">
        <v>10</v>
      </c>
      <c r="C23" s="3">
        <v>7.0</v>
      </c>
    </row>
    <row r="24" ht="12.75" customHeight="1">
      <c r="B24" s="2" t="s">
        <v>11</v>
      </c>
      <c r="C24" s="3">
        <v>8.0</v>
      </c>
    </row>
    <row r="25" ht="12.75" customHeight="1">
      <c r="B25" s="2" t="s">
        <v>12</v>
      </c>
      <c r="C25" s="3">
        <v>9.0</v>
      </c>
    </row>
    <row r="26" ht="12.75" customHeight="1">
      <c r="B26" s="2" t="s">
        <v>13</v>
      </c>
      <c r="C26" s="3">
        <v>10.0</v>
      </c>
    </row>
    <row r="27" ht="12.75" customHeight="1">
      <c r="B27" s="2" t="s">
        <v>14</v>
      </c>
      <c r="C27" s="3">
        <v>11.0</v>
      </c>
    </row>
    <row r="28" ht="12.75" customHeight="1">
      <c r="B28" s="2" t="s">
        <v>15</v>
      </c>
      <c r="C28" s="3">
        <v>12.0</v>
      </c>
    </row>
    <row r="29" ht="12.75" customHeight="1">
      <c r="B29" s="2" t="s">
        <v>16</v>
      </c>
      <c r="C29" s="3">
        <v>13.0</v>
      </c>
    </row>
    <row r="30" ht="12.75" customHeight="1">
      <c r="B30" s="2" t="s">
        <v>17</v>
      </c>
      <c r="C30" s="3">
        <v>14.0</v>
      </c>
    </row>
    <row r="31" ht="12.75" customHeight="1">
      <c r="B31" s="2" t="s">
        <v>18</v>
      </c>
      <c r="C31" s="3">
        <v>15.0</v>
      </c>
    </row>
    <row r="32" ht="12.75" customHeight="1">
      <c r="B32" s="2" t="s">
        <v>19</v>
      </c>
      <c r="C32" s="3">
        <v>16.0</v>
      </c>
    </row>
    <row r="33" ht="12.75" customHeight="1">
      <c r="B33" s="2" t="s">
        <v>20</v>
      </c>
      <c r="C33" s="3">
        <v>17.0</v>
      </c>
    </row>
    <row r="34" ht="12.75" customHeight="1">
      <c r="B34" s="2" t="s">
        <v>21</v>
      </c>
      <c r="C34" s="3">
        <v>18.0</v>
      </c>
    </row>
    <row r="35" ht="12.75" customHeight="1">
      <c r="B35" s="2" t="s">
        <v>22</v>
      </c>
      <c r="C35" s="3">
        <v>19.0</v>
      </c>
    </row>
    <row r="36" ht="12.75" customHeight="1">
      <c r="B36" s="2" t="s">
        <v>23</v>
      </c>
      <c r="C36" s="3">
        <v>20.0</v>
      </c>
    </row>
    <row r="37" ht="12.75" customHeight="1">
      <c r="B37" s="2" t="s">
        <v>24</v>
      </c>
      <c r="C37" s="3">
        <v>21.0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0"/>
    <col customWidth="1" min="3" max="3" width="8.86"/>
    <col customWidth="1" min="4" max="26" width="8.71"/>
  </cols>
  <sheetData>
    <row r="1" ht="12.75" customHeight="1"/>
    <row r="2" ht="12.75" customHeight="1"/>
    <row r="3" ht="12.75" customHeight="1">
      <c r="B3" s="8" t="s">
        <v>88</v>
      </c>
    </row>
    <row r="4" ht="12.75" customHeight="1">
      <c r="B4" s="8" t="s">
        <v>89</v>
      </c>
    </row>
    <row r="5" ht="12.75" customHeight="1">
      <c r="B5" s="8" t="s">
        <v>90</v>
      </c>
    </row>
    <row r="6" ht="12.75" customHeight="1">
      <c r="B6" s="8" t="s">
        <v>91</v>
      </c>
    </row>
    <row r="7" ht="12.75" customHeight="1">
      <c r="B7" s="8" t="s">
        <v>92</v>
      </c>
      <c r="L7" s="8" t="s">
        <v>93</v>
      </c>
    </row>
    <row r="8" ht="12.75" customHeight="1">
      <c r="L8" s="8" t="s">
        <v>94</v>
      </c>
    </row>
    <row r="9" ht="12.75" customHeight="1"/>
    <row r="10" ht="12.75" customHeight="1"/>
    <row r="11" ht="12.75" customHeight="1">
      <c r="L11" s="8" t="s">
        <v>95</v>
      </c>
    </row>
    <row r="12" ht="12.75" customHeight="1">
      <c r="L12" s="8" t="s">
        <v>96</v>
      </c>
    </row>
    <row r="13" ht="12.75" customHeight="1"/>
    <row r="14" ht="12.75" customHeight="1"/>
    <row r="15" ht="12.75" customHeight="1">
      <c r="L15" s="8" t="s">
        <v>97</v>
      </c>
    </row>
    <row r="16" ht="12.75" customHeight="1"/>
    <row r="17" ht="12.75" customHeight="1">
      <c r="L17" s="8" t="s">
        <v>98</v>
      </c>
    </row>
    <row r="18" ht="12.75" customHeight="1"/>
    <row r="19" ht="12.75" customHeight="1">
      <c r="L19" s="8" t="s">
        <v>99</v>
      </c>
    </row>
    <row r="20" ht="12.75" customHeight="1">
      <c r="L20" s="8" t="s">
        <v>93</v>
      </c>
    </row>
    <row r="21" ht="12.75" customHeight="1">
      <c r="L21" s="8" t="s">
        <v>100</v>
      </c>
    </row>
    <row r="22" ht="12.75" customHeight="1">
      <c r="L22" s="8" t="s">
        <v>101</v>
      </c>
    </row>
    <row r="23" ht="12.75" customHeight="1">
      <c r="L23" s="8" t="s">
        <v>102</v>
      </c>
    </row>
    <row r="24" ht="12.75" customHeight="1">
      <c r="L24" s="8" t="s">
        <v>103</v>
      </c>
    </row>
    <row r="25" ht="12.75" customHeight="1">
      <c r="L25" s="8" t="s">
        <v>104</v>
      </c>
    </row>
    <row r="26" ht="12.75" customHeight="1">
      <c r="L26" s="8" t="s">
        <v>105</v>
      </c>
    </row>
    <row r="27" ht="12.75" customHeight="1"/>
    <row r="28" ht="12.75" customHeight="1">
      <c r="L28" s="8" t="s">
        <v>106</v>
      </c>
    </row>
    <row r="29" ht="12.75" customHeight="1">
      <c r="L29" s="8" t="s">
        <v>107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2021-11-30T13:48:29Z</dcterms:created>
  <dc:creator>A2E_Engine</dc:creator>
</cp:coreProperties>
</file>